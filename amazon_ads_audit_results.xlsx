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<sst xmlns="http://schemas.openxmlformats.org/spreadsheetml/2006/main" count="4753" uniqueCount="1536">
  <si>
    <t xml:space="preserve">boAt vs Noise -- Amazon.in Sponsored-Ad / Keyword-Placement Audit</t>
  </si>
  <si>
    <t xml:space="preserve">What this dataset is</t>
  </si>
  <si>
    <t xml:space="preserve">A scrape of live Amazon.in search results for 16 keywords covering boAt and Noise TWS earbuds and wearables, captured via the Apify actor crawloop/amazon-search-scraper. Each row is one product card seen in the search-results grid for one keyword, tagged with whether Amazon marked it as a Sponsored (paid ad) placement.</t>
  </si>
  <si>
    <t xml:space="preserve">The 16 keywords break down as:</t>
  </si>
  <si>
    <t xml:space="preserve">  - 6 exact-SKU searches: boAt Nirvana Ion ANC, boAt Chrome Horizon, boAt Lunar Vista, Noise Buds N2 Pro, Noise ColorFit Ultra 3, Noise Alt Watch 1</t>
  </si>
  <si>
    <t xml:space="preserve">  - 6 category searches: wireless earbuds, earbuds with anc, bluetooth earbuds under 2000, smartwatch with bluetooth calling, smartwatch under 2000, smartwatch under 3000</t>
  </si>
  <si>
    <t xml:space="preserve">  - 4 brand-defense / conquesting searches: boat earbuds, boat smartwatch, noise earbuds, noise smartwatch</t>
  </si>
  <si>
    <t xml:space="preserve">Column notes</t>
  </si>
  <si>
    <t xml:space="preserve">position -- the product's slot index within THAT PAGE's results grid for that keyword. IMPORTANT: position resets per page -- it is NOT a continuous rank across pages 1 and 2 (page 2's position 3 is not the 3rd item overall, it's the 3rd slot on page 2). Lower position = higher up / more visible on the page. Sponsored and organic items share the same position numbering, interleaved in the order they visually appear on the page, so a sponsored item at position 3 is far more prominent than one at position 20. You will see gaps in the sequence (e.g. jumping from 9 to 16, or page 1 not starting at 1) -- this is expected, not missing data: some grid slots are non-product SERP elements (banner ads, "customers also viewed" widgets, video tiles, brand carousels) that the scraper doesn't return as product rows.</t>
  </si>
  <si>
    <t xml:space="preserve">page -- which of the 2 search-results pages fetched per keyword (1 or 2) this row came from. Page 1 is far more valuable real estate than page 2: most shoppers never click through to page 2, so a sponsored slot on page 1 deserves much more weight in the analysis than the same position on page 2. This run captured 341 rows from page 1 and 325 from page 2.</t>
  </si>
  <si>
    <t xml:space="preserve">is_sponsored -- Yes/No, from Amazon's own "Sponsored" badge on that listing as detected by the scraper.</t>
  </si>
  <si>
    <t xml:space="preserve">brand -- boAt / Noise / "Other: &lt;word&gt;", auto-tagged by matching whole words in the title. "Other: X" means a competitor brand guessed from the first word of the title (e.g. "Other: Fire" = Fire-Boltt).</t>
  </si>
  <si>
    <t xml:space="preserve">matched_sku -- which of the 6 target SKUs (if any) this row's title matched exactly. CAVEAT: some sponsored/carousel cards return a truncated title -- just the brand word ("Noise", "boAt") instead of the full product name -- so matched_sku under-reports for those rows even when the underlying product might be a target SKU. When matched_sku is blank on a sponsored row you care about, open its product_url/asin to check by hand.</t>
  </si>
  <si>
    <t xml:space="preserve">keyword, asin, title, price, product_url -- standard fields: which of the 16 search terms produced the row, Amazon's product ID, listing title, displayed price, and a clickable link to the live listing.</t>
  </si>
  <si>
    <t xml:space="preserve">How to read this for ad-placement analysis</t>
  </si>
  <si>
    <t xml:space="preserve">1. Filter Data to is_sponsored = Yes and page = 1 first -- that's the highest-value ad inventory (most shoppers never see page 2).</t>
  </si>
  <si>
    <t xml:space="preserve">2. Group the filtered rows by keyword + brand to see sponsored share-of-voice per keyword.</t>
  </si>
  <si>
    <t xml:space="preserve">3. Look at the position distribution within page 1 to gauge prominence, not just presence -- a sponsored slot at position 3 beats one at position 20.</t>
  </si>
  <si>
    <t xml:space="preserve">4. The Summary tab has these aggregates pre-computed (with live formulas back to this Data tab) for the full 16-keyword run.</t>
  </si>
  <si>
    <t xml:space="preserve">Data-quality note</t>
  </si>
  <si>
    <t xml:space="preserve">This data is from the actor crawloop/amazon-search-scraper. An earlier attempt used a different actor (scrapeify/amazon-scraper) which failed outright on 14 of 16 keywords (anti-bot "schema validation" errors) and, on the 2 keywords where it did return data, showed 0 sponsored placements across 47 results -- implausible for these search terms, and a sign its sponsored-ad detection wasn't reliable. crawloop's actor was verified against 3 test keywords (confirmed real, non-zero sponsored counts) before running the full 16-keyword sweep captured here.</t>
  </si>
  <si>
    <t xml:space="preserve">keyword</t>
  </si>
  <si>
    <t xml:space="preserve">position</t>
  </si>
  <si>
    <t xml:space="preserve">page</t>
  </si>
  <si>
    <t xml:space="preserve">is_sponsored</t>
  </si>
  <si>
    <t xml:space="preserve">brand</t>
  </si>
  <si>
    <t xml:space="preserve">matched_sku</t>
  </si>
  <si>
    <t xml:space="preserve">asin</t>
  </si>
  <si>
    <t xml:space="preserve">title</t>
  </si>
  <si>
    <t xml:space="preserve">price</t>
  </si>
  <si>
    <t xml:space="preserve">product_url</t>
  </si>
  <si>
    <t xml:space="preserve">boAt Nirvana Ion ANC</t>
  </si>
  <si>
    <t xml:space="preserve">Yes</t>
  </si>
  <si>
    <t xml:space="preserve">Other: realme</t>
  </si>
  <si>
    <t xml:space="preserve">B0DBGP48NW</t>
  </si>
  <si>
    <t xml:space="preserve">realme</t>
  </si>
  <si>
    <t xml:space="preserve">₹2,241</t>
  </si>
  <si>
    <t xml:space="preserve">https://www.amazon.in/dp/B0DBGP48NW</t>
  </si>
  <si>
    <t xml:space="preserve">boAt</t>
  </si>
  <si>
    <t xml:space="preserve">B0BW8TXJJ2</t>
  </si>
  <si>
    <t xml:space="preserve">₹1,799</t>
  </si>
  <si>
    <t xml:space="preserve">https://www.amazon.in/dp/B0BW8TXJJ2</t>
  </si>
  <si>
    <t xml:space="preserve">No</t>
  </si>
  <si>
    <t xml:space="preserve">B0CF5QFH77</t>
  </si>
  <si>
    <t xml:space="preserve">₹1,999</t>
  </si>
  <si>
    <t xml:space="preserve">https://www.amazon.in/boAt-Nirvana-Ion-ANC-Cancellation/dp/B0CF5QFH77/ref=sr_1_3</t>
  </si>
  <si>
    <t xml:space="preserve">B0FP9DP8FH</t>
  </si>
  <si>
    <t xml:space="preserve">₹2,299</t>
  </si>
  <si>
    <t xml:space="preserve">https://www.amazon.in/Nirvana-Battery-Bluetooth-Wireless-Earphones/dp/B0FP9DP8FH/ref=sr_1_4</t>
  </si>
  <si>
    <t xml:space="preserve">Noise</t>
  </si>
  <si>
    <t xml:space="preserve">B0DS2Y94LS</t>
  </si>
  <si>
    <t xml:space="preserve">₹1,499</t>
  </si>
  <si>
    <t xml:space="preserve">https://www.amazon.in/dp/B0DS2Y94LS</t>
  </si>
  <si>
    <t xml:space="preserve">B0D4QNLF6Y</t>
  </si>
  <si>
    <t xml:space="preserve">https://www.amazon.in/dp/B0D4QNLF6Y</t>
  </si>
  <si>
    <t xml:space="preserve">Other: OnePlus</t>
  </si>
  <si>
    <t xml:space="preserve">B0FMDL81GS</t>
  </si>
  <si>
    <t xml:space="preserve">OnePlus</t>
  </si>
  <si>
    <t xml:space="preserve">₹1,749</t>
  </si>
  <si>
    <t xml:space="preserve">https://www.amazon.in/OnePlus-Playback-Translation-Dual-Device-Connectivity/dp/B0FMDL81GS/ref=sr_1_7</t>
  </si>
  <si>
    <t xml:space="preserve">B0DGTVLKPT</t>
  </si>
  <si>
    <t xml:space="preserve">₹1,899</t>
  </si>
  <si>
    <t xml:space="preserve">https://www.amazon.in/boAt-Nirvana-Crystl-White-Lustre/dp/B0DGTVLKPT/ref=sr_1_8</t>
  </si>
  <si>
    <t xml:space="preserve">B0FN7J4997</t>
  </si>
  <si>
    <t xml:space="preserve">₹1,599</t>
  </si>
  <si>
    <t xml:space="preserve">https://www.amazon.in/dp/B0FN7J4997</t>
  </si>
  <si>
    <t xml:space="preserve">Other: GOBOULT</t>
  </si>
  <si>
    <t xml:space="preserve">B0H6B1L8N1</t>
  </si>
  <si>
    <t xml:space="preserve">GOBOULT</t>
  </si>
  <si>
    <t xml:space="preserve">https://www.amazon.in/dp/B0H6B1L8N1</t>
  </si>
  <si>
    <t xml:space="preserve">B0DQKY3R84</t>
  </si>
  <si>
    <t xml:space="preserve">https://www.amazon.in/boAt-Nirvana-TWS-Bluetooth-Earphones/dp/B0DQKY3R84/ref=sr_1_11</t>
  </si>
  <si>
    <t xml:space="preserve">B0D4VN3S8T</t>
  </si>
  <si>
    <t xml:space="preserve">https://www.amazon.in/boAt-Nirvana-Space-Multipoint-Connectivity/dp/B0D4VN3S8T/ref=sr_1_12</t>
  </si>
  <si>
    <t xml:space="preserve">B0DBHBZZTN</t>
  </si>
  <si>
    <t xml:space="preserve">https://www.amazon.in/boAt-Tracking-Bluetooth-Wireless-Earphones/dp/B0DBHBZZTN/ref=sr_1_13</t>
  </si>
  <si>
    <t xml:space="preserve">Other: Sounce</t>
  </si>
  <si>
    <t xml:space="preserve">B0CJXX6QY2</t>
  </si>
  <si>
    <t xml:space="preserve">Sounce</t>
  </si>
  <si>
    <t xml:space="preserve">₹179</t>
  </si>
  <si>
    <t xml:space="preserve">https://www.amazon.in/Sounce-Earphone-Compatible-Shock-Absorbing-Protective/dp/B0CJXX6QY2/ref=sr_1_14</t>
  </si>
  <si>
    <t xml:space="preserve">B0G2RZZF9S</t>
  </si>
  <si>
    <t xml:space="preserve">₹2,799</t>
  </si>
  <si>
    <t xml:space="preserve">https://www.amazon.in/boAt-Feedback-Bluetooth-Wireless-Earphones/dp/B0G2RZZF9S/ref=sr_1_15</t>
  </si>
  <si>
    <t xml:space="preserve">B0DXPL5XHF</t>
  </si>
  <si>
    <t xml:space="preserve">https://www.amazon.in/boAt-Nirvana-Zenith-Pro-Bluetooth/dp/B0DXPL5XHF/ref=sr_1_16</t>
  </si>
  <si>
    <t xml:space="preserve">B0F5BDJG4C</t>
  </si>
  <si>
    <t xml:space="preserve">₹1,399</t>
  </si>
  <si>
    <t xml:space="preserve">https://www.amazon.in/boAt-Airdopes-Bluetooth-Wireless-Earphones/dp/B0F5BDJG4C/ref=sr_1_17</t>
  </si>
  <si>
    <t xml:space="preserve">B09MTQ23X4</t>
  </si>
  <si>
    <t xml:space="preserve">₹2,745</t>
  </si>
  <si>
    <t xml:space="preserve">https://www.amazon.in/boAt-Cancelling-Bluetooth-Headphones-Immersive/dp/B09MTQ23X4/ref=sr_1_18</t>
  </si>
  <si>
    <t xml:space="preserve">B0FBR6HGXM</t>
  </si>
  <si>
    <t xml:space="preserve">₹1,571</t>
  </si>
  <si>
    <t xml:space="preserve">https://www.amazon.in/realme-Wireless-Earbuds-Dynamic-Playback/dp/B0FBR6HGXM/ref=sr_1_19</t>
  </si>
  <si>
    <t xml:space="preserve">B0F8BWZSFD</t>
  </si>
  <si>
    <t xml:space="preserve">https://www.amazon.in/boAt-Airdopes-Multidevice-Bluetooth-Earphones/dp/B0F8BWZSFD/ref=sr_1_20</t>
  </si>
  <si>
    <t xml:space="preserve">B09MTR7NRM</t>
  </si>
  <si>
    <t xml:space="preserve">₹2,399</t>
  </si>
  <si>
    <t xml:space="preserve">https://www.amazon.in/boAt-Cancelling-Bluetooth-Headphones-Compatibility/dp/B09MTR7NRM/ref=sr_1_21</t>
  </si>
  <si>
    <t xml:space="preserve">B0GXB8M9ZV</t>
  </si>
  <si>
    <t xml:space="preserve">₹5,999</t>
  </si>
  <si>
    <t xml:space="preserve">https://www.amazon.in/boAt-Adaptive-AI-ENxTM-Bluetooth-Headphones/dp/B0GXB8M9ZV/ref=sr_1_22</t>
  </si>
  <si>
    <t xml:space="preserve">B0CQJZD55X</t>
  </si>
  <si>
    <t xml:space="preserve">₹999</t>
  </si>
  <si>
    <t xml:space="preserve">https://www.amazon.in/dp/B0CQJZD55X</t>
  </si>
  <si>
    <t xml:space="preserve">B0D4QLT8WG</t>
  </si>
  <si>
    <t xml:space="preserve">https://www.amazon.in/dp/B0D4QLT8WG</t>
  </si>
  <si>
    <t xml:space="preserve">B0GXBFBFYV</t>
  </si>
  <si>
    <t xml:space="preserve">https://www.amazon.in/boAt-Adaptive-Playtime-Bluetooth-Headphones/dp/B0GXBFBFYV/ref=sr_1_20</t>
  </si>
  <si>
    <t xml:space="preserve">B0FC2XZ2JJ</t>
  </si>
  <si>
    <t xml:space="preserve">₹4,499</t>
  </si>
  <si>
    <t xml:space="preserve">https://www.amazon.in/boAt-Tracking-Adaptive-Bluetooth-Earphones/dp/B0FC2XZ2JJ/ref=sr_1_21</t>
  </si>
  <si>
    <t xml:space="preserve">Other: truke</t>
  </si>
  <si>
    <t xml:space="preserve">B0F1Y8MDHM</t>
  </si>
  <si>
    <t xml:space="preserve">truke</t>
  </si>
  <si>
    <t xml:space="preserve">https://www.amazon.in/dp/B0F1Y8MDHM</t>
  </si>
  <si>
    <t xml:space="preserve">B0H1X2CN2K</t>
  </si>
  <si>
    <t xml:space="preserve">https://www.amazon.in/boAt-Technology-Connectivity-Detection-Bluetooth/dp/B0H1X2CN2K/ref=sr_1_23</t>
  </si>
  <si>
    <t xml:space="preserve">B0DN1HT526</t>
  </si>
  <si>
    <t xml:space="preserve">https://www.amazon.in/boAt-Nirvana-Iris-Cancellation-Hearables/dp/B0DN1HT526/ref=sr_1_24</t>
  </si>
  <si>
    <t xml:space="preserve">B0FM37T5JX</t>
  </si>
  <si>
    <t xml:space="preserve">https://www.amazon.in/Rockerz-Bluetooth-Neckband-Wireless-Earphones/dp/B0FM37T5JX/ref=sr_1_25</t>
  </si>
  <si>
    <t xml:space="preserve">B0FB3J8M6J</t>
  </si>
  <si>
    <t xml:space="preserve">https://www.amazon.in/boAt-Cancellation-Multipoint-Connectivity-Bluetooth/dp/B0FB3J8M6J/ref=sr_1_26</t>
  </si>
  <si>
    <t xml:space="preserve">B0FG2QT7H2</t>
  </si>
  <si>
    <t xml:space="preserve">https://www.amazon.in/boAt-Bluetooth-Headphones-Wireless-Headphone/dp/B0FG2QT7H2/ref=sr_1_27</t>
  </si>
  <si>
    <t xml:space="preserve">B0GXB9M2HW</t>
  </si>
  <si>
    <t xml:space="preserve">₹1,199</t>
  </si>
  <si>
    <t xml:space="preserve">https://www.amazon.in/boAt-Airdopes-Powerful-Playback-Bluetooth/dp/B0GXB9M2HW/ref=sr_1_28</t>
  </si>
  <si>
    <t xml:space="preserve">B0FW5B3JCZ</t>
  </si>
  <si>
    <t xml:space="preserve">₹2,899</t>
  </si>
  <si>
    <t xml:space="preserve">https://www.amazon.in/Playback-Bluetooth-Headphones-Wireless-Headphone/dp/B0FW5B3JCZ/ref=sr_1_29</t>
  </si>
  <si>
    <t xml:space="preserve">B0GZN7C6X8</t>
  </si>
  <si>
    <t xml:space="preserve">https://www.amazon.in/boAt-Airdopes-ProClip-Conduction-Feather-Light/dp/B0GZN7C6X8/ref=sr_1_30</t>
  </si>
  <si>
    <t xml:space="preserve">B0GX9ZRTM6</t>
  </si>
  <si>
    <t xml:space="preserve">₹3,099</t>
  </si>
  <si>
    <t xml:space="preserve">https://www.amazon.in/boAt-Rockerz-Assistant-Wireless-Headphones/dp/B0GX9ZRTM6/ref=sr_1_31</t>
  </si>
  <si>
    <t xml:space="preserve">B0FC2Y3XGV</t>
  </si>
  <si>
    <t xml:space="preserve">https://www.amazon.in/boAt-Airdopes-Bluetooth-Wireless-Earphones/dp/B0FC2Y3XGV/ref=sr_1_32</t>
  </si>
  <si>
    <t xml:space="preserve">Other: CrossBeats</t>
  </si>
  <si>
    <t xml:space="preserve">B0G6D8R6XM</t>
  </si>
  <si>
    <t xml:space="preserve">CrossBeats</t>
  </si>
  <si>
    <t xml:space="preserve">₹2,039</t>
  </si>
  <si>
    <t xml:space="preserve">https://www.amazon.in/CrossBeats-Hertz-Earphones-Bluetooth-Cancellation/dp/B0G6D8R6XM/ref=sr_1_33</t>
  </si>
  <si>
    <t xml:space="preserve">B0DNZTC6K7</t>
  </si>
  <si>
    <t xml:space="preserve">https://www.amazon.in/Noise-Truly-Wireless-Bluetooth-Earbuds/dp/B0DNZTC6K7/ref=sr_1_34</t>
  </si>
  <si>
    <t xml:space="preserve">B0DFQ1R3W4</t>
  </si>
  <si>
    <t xml:space="preserve">₹2,599</t>
  </si>
  <si>
    <t xml:space="preserve">https://www.amazon.in/OnePlus-Wireless-Bluetooth-Cancellation-Harmonic/dp/B0DFQ1R3W4/ref=sr_1_35</t>
  </si>
  <si>
    <t xml:space="preserve">Other: Samsung</t>
  </si>
  <si>
    <t xml:space="preserve">B0FDGVNSLH</t>
  </si>
  <si>
    <t xml:space="preserve">Samsung</t>
  </si>
  <si>
    <t xml:space="preserve">₹4,199</t>
  </si>
  <si>
    <t xml:space="preserve">https://www.amazon.in/Samsung-Enabled-Enriched-Battery-Controls/dp/B0FDGVNSLH/ref=sr_1_36</t>
  </si>
  <si>
    <t xml:space="preserve">Noise Buds N2 Pro</t>
  </si>
  <si>
    <t xml:space="preserve">B0FN7J4NWT</t>
  </si>
  <si>
    <t xml:space="preserve">https://www.amazon.in/Noise-Launched-Wireless-Metallic-Instacharge/dp/B0FN7J4NWT/ref=sr_1_3</t>
  </si>
  <si>
    <t xml:space="preserve">B0FMDLD86P</t>
  </si>
  <si>
    <t xml:space="preserve">₹1,849</t>
  </si>
  <si>
    <t xml:space="preserve">https://www.amazon.in/OnePlus-Playback-Translation-Dual-Device-Connectivity/dp/B0FMDLD86P/ref=sr_1_4</t>
  </si>
  <si>
    <t xml:space="preserve">B0DK979YJ7</t>
  </si>
  <si>
    <t xml:space="preserve">₹5,949</t>
  </si>
  <si>
    <t xml:space="preserve">https://www.amazon.in/dp/B0DK979YJ7</t>
  </si>
  <si>
    <t xml:space="preserve">B0G2CD21GR</t>
  </si>
  <si>
    <t xml:space="preserve">₹8,999</t>
  </si>
  <si>
    <t xml:space="preserve">https://www.amazon.in/dp/B0G2CD21GR</t>
  </si>
  <si>
    <t xml:space="preserve">B0G2C8MR7L</t>
  </si>
  <si>
    <t xml:space="preserve">https://www.amazon.in/Noise-Adaptive-Spatial-Tracking-Pairing/dp/B0G2C8MR7L/ref=sr_1_7</t>
  </si>
  <si>
    <t xml:space="preserve">https://www.amazon.in/Noise-Wireless-Metallic-Playtime-Instacharge/dp/B0D4QLT8WG/ref=sr_1_8</t>
  </si>
  <si>
    <t xml:space="preserve">Other: Apple</t>
  </si>
  <si>
    <t xml:space="preserve">B0DCNWN8NZ</t>
  </si>
  <si>
    <t xml:space="preserve">Apple</t>
  </si>
  <si>
    <t xml:space="preserve">₹1,649</t>
  </si>
  <si>
    <t xml:space="preserve">https://www.amazon.in/dp/B0DCNWN8NZ</t>
  </si>
  <si>
    <t xml:space="preserve">Other: Mivi</t>
  </si>
  <si>
    <t xml:space="preserve">B0DMZRJ939</t>
  </si>
  <si>
    <t xml:space="preserve">Mivi</t>
  </si>
  <si>
    <t xml:space="preserve">₹2,499</t>
  </si>
  <si>
    <t xml:space="preserve">https://www.amazon.in/dp/B0DMZRJ939</t>
  </si>
  <si>
    <t xml:space="preserve">B0FTZFYC1V</t>
  </si>
  <si>
    <t xml:space="preserve">₹1,299</t>
  </si>
  <si>
    <t xml:space="preserve">https://www.amazon.in/Noise-Launched-Wireless-Playtime-Instacharge/dp/B0FTZFYC1V/ref=sr_1_11</t>
  </si>
  <si>
    <t xml:space="preserve">B0DNZPWVM7</t>
  </si>
  <si>
    <t xml:space="preserve">https://www.amazon.in/Noise-Truly-Wireless-Bluetooth-Earbuds/dp/B0DNZPWVM7/ref=sr_1_12</t>
  </si>
  <si>
    <t xml:space="preserve">B0GWDFZPN6</t>
  </si>
  <si>
    <t xml:space="preserve">https://www.amazon.in/Noise-Wireless-Earbuds-Playtime-Instacharge/dp/B0GWDFZPN6/ref=sr_1_13</t>
  </si>
  <si>
    <t xml:space="preserve">B0FZ9YLWP1</t>
  </si>
  <si>
    <t xml:space="preserve">https://www.amazon.in/Noise-Launched-Connect-Wireless-Playtime/dp/B0FZ9YLWP1/ref=sr_1_14</t>
  </si>
  <si>
    <t xml:space="preserve">B0GWD513TF</t>
  </si>
  <si>
    <t xml:space="preserve">https://www.amazon.in/Noise-Spatial-Playtime-Instacharge-Metallic/dp/B0GWD513TF/ref=sr_1_15</t>
  </si>
  <si>
    <t xml:space="preserve">B0DS2SG8YP</t>
  </si>
  <si>
    <t xml:space="preserve">https://www.amazon.in/Noise-Wireless-Earbuds-Playtime-Instacharge/dp/B0DS2SG8YP/ref=sr_1_16</t>
  </si>
  <si>
    <t xml:space="preserve">https://www.amazon.in/Noise-Wireless-Bluetooth-Playtime-Instacharge/dp/B0DS2Y94LS/ref=sr_1_17</t>
  </si>
  <si>
    <t xml:space="preserve">B0FHW7PX1N</t>
  </si>
  <si>
    <t xml:space="preserve">https://www.amazon.in/Noise-Launched-Wireless-Playtime-Transparent/dp/B0FHW7PX1N/ref=sr_1_18</t>
  </si>
  <si>
    <t xml:space="preserve">B0CQJXC3SP</t>
  </si>
  <si>
    <t xml:space="preserve">https://www.amazon.in/Noise-Launched-Wireless-Playtime-Instacharge/dp/B0CQJXC3SP/ref=sr_1_19</t>
  </si>
  <si>
    <t xml:space="preserve">B0DZCRYG7R</t>
  </si>
  <si>
    <t xml:space="preserve">https://www.amazon.in/realme-Bluetooth-Earbuds-Playback-Charging/dp/B0DZCRYG7R/ref=sr_1_20</t>
  </si>
  <si>
    <t xml:space="preserve">B0GCNNWM13</t>
  </si>
  <si>
    <t xml:space="preserve">₹899</t>
  </si>
  <si>
    <t xml:space="preserve">https://www.amazon.in/Noise-Wireless-Earbuds-Playtime-Resistant/dp/B0GCNNWM13/ref=sr_1_21</t>
  </si>
  <si>
    <t xml:space="preserve">B0D7HZ3KK9</t>
  </si>
  <si>
    <t xml:space="preserve">₹2,999</t>
  </si>
  <si>
    <t xml:space="preserve">https://www.amazon.in/OnePlus-Wireless-Bluetooth-Cancellation-Charging/dp/B0D7HZ3KK9/ref=sr_1_22</t>
  </si>
  <si>
    <t xml:space="preserve">B0G2CD1LHF</t>
  </si>
  <si>
    <t xml:space="preserve">https://www.amazon.in/dp/B0G2CD1LHF</t>
  </si>
  <si>
    <t xml:space="preserve">B0GQTSHLLR</t>
  </si>
  <si>
    <t xml:space="preserve">₹4,099</t>
  </si>
  <si>
    <t xml:space="preserve">https://www.amazon.in/OnePlus-Nord-E518A-Raven-Black/dp/B0GQTSHLLR/ref=sr_1_20</t>
  </si>
  <si>
    <t xml:space="preserve">B0FZ9WRMLN</t>
  </si>
  <si>
    <t xml:space="preserve">₹1,099</t>
  </si>
  <si>
    <t xml:space="preserve">https://www.amazon.in/Noise-Wireless-Earbuds-Playtime-Latency/dp/B0FZ9WRMLN/ref=sr_1_21</t>
  </si>
  <si>
    <t xml:space="preserve">B0HCCPSMC7</t>
  </si>
  <si>
    <t xml:space="preserve">AlakhDM Wireless Bluetooth Earbuds, ENC Noise Reduction, HD Stereo Sound, Gaming Earphones, Type-C Fast Charging, Smart Touch Control</t>
  </si>
  <si>
    <t xml:space="preserve">₹249</t>
  </si>
  <si>
    <t xml:space="preserve">https://www.amazon.in/dp/B0HCCPSMC7</t>
  </si>
  <si>
    <t xml:space="preserve">Other: Wireless</t>
  </si>
  <si>
    <t xml:space="preserve">B0H9D2WPCJ</t>
  </si>
  <si>
    <t xml:space="preserve">Wireless Earbuds Bluetooth 5.1 TWS Earphones Full Touch Control Headphones Built-in Microphone Immersive Sound Quality Ensure Fast Stable &amp; Connection Smart LED Headset Sports Bud</t>
  </si>
  <si>
    <t xml:space="preserve">https://www.amazon.in/dp/B0H9D2WPCJ</t>
  </si>
  <si>
    <t xml:space="preserve">B0FTZD16TR</t>
  </si>
  <si>
    <t xml:space="preserve">https://www.amazon.in/Noise-Launched-Wireless-Playtime-Instacharge/dp/B0FTZD16TR/ref=sr_1_24</t>
  </si>
  <si>
    <t xml:space="preserve">B0DZ1116TL</t>
  </si>
  <si>
    <t xml:space="preserve">https://www.amazon.in/GOBOULT-Wireless-Playtime-Bluetooth-Earphone/dp/B0DZ1116TL/ref=sr_1_25</t>
  </si>
  <si>
    <t xml:space="preserve">Other: Single</t>
  </si>
  <si>
    <t xml:space="preserve">B0BQ2LDNMQ</t>
  </si>
  <si>
    <t xml:space="preserve">Single Bluetooth Wireless Earbuds, Mini Invisible in Ear Wireless Bluetooth Headphone 12 Hours Super Long Battery Life Suitable for Sports Work and Sleep - Black</t>
  </si>
  <si>
    <t xml:space="preserve">₹499</t>
  </si>
  <si>
    <t xml:space="preserve">https://www.amazon.in/dp/B0BQ2LDNMQ</t>
  </si>
  <si>
    <t xml:space="preserve">B0H9S91SLY</t>
  </si>
  <si>
    <t xml:space="preserve">Wireless Earbuds Bluetooth 5.1 TWS Earphones Full Touch Control Headphones Built-in Microphone Immersive Sound Quality Ensure Fast Stable &amp; Connection Smart LED Headset Sports Bud (Black)</t>
  </si>
  <si>
    <t xml:space="preserve">https://www.amazon.in/dp/B0H9S91SLY</t>
  </si>
  <si>
    <t xml:space="preserve">B0G43FRQBL</t>
  </si>
  <si>
    <t xml:space="preserve">https://www.amazon.in/GOBOULT-Playtime-Continues-Bluetooth-Earbuds/dp/B0G43FRQBL/ref=sr_1_28</t>
  </si>
  <si>
    <t xml:space="preserve">B0GSZV3415</t>
  </si>
  <si>
    <t xml:space="preserve">https://www.amazon.in/Noise-Launched-Wireless-Earbuds-Playtime/dp/B0GSZV3415/ref=sr_1_29</t>
  </si>
  <si>
    <t xml:space="preserve">B0H9DBVTYX</t>
  </si>
  <si>
    <t xml:space="preserve">Wireless Earbuds Bluetooth 5.3 TWS Earphones Full Touch Control Headphones Fast Stable &amp; Connection Smart LED Headset Sports Bud Built-in Microphone Immersive Sound Quality Ensure</t>
  </si>
  <si>
    <t xml:space="preserve">https://www.amazon.in/dp/B0H9DBVTYX</t>
  </si>
  <si>
    <t xml:space="preserve">Other: Ultrapods</t>
  </si>
  <si>
    <t xml:space="preserve">B0CP9H5J1W</t>
  </si>
  <si>
    <t xml:space="preserve">Ultrapods TWS Earbud, Bluetooth Earbuds with Display, Transparent Design, 30Hrs Playtime &amp; Fast Charging, Bluetooth 5.3 + ENC, 13mm HD BASS Drivers, IPX7 Sweat-Proof, Built-in Mic (White)</t>
  </si>
  <si>
    <t xml:space="preserve">₹549</t>
  </si>
  <si>
    <t xml:space="preserve">https://www.amazon.in/dp/B0CP9H5J1W</t>
  </si>
  <si>
    <t xml:space="preserve">B0GRV6L413</t>
  </si>
  <si>
    <t xml:space="preserve">https://www.amazon.in/GOBOULT-Playtime-Cancellation-Bluetooth-Wireless/dp/B0GRV6L413/ref=sr_1_32</t>
  </si>
  <si>
    <t xml:space="preserve">B0CF5PNVZH</t>
  </si>
  <si>
    <t xml:space="preserve">https://www.amazon.in/boAt-Nirvana-Ion-ANC-Cancellation/dp/B0CF5PNVZH/ref=sr_1_33</t>
  </si>
  <si>
    <t xml:space="preserve">B09Y5LL6P4</t>
  </si>
  <si>
    <t xml:space="preserve">https://www.amazon.in/Noise-Wireless-Bluetooth-30-Hours-Instacharge/dp/B09Y5LL6P4/ref=sr_1_34</t>
  </si>
  <si>
    <t xml:space="preserve">B0CYPZLV8C</t>
  </si>
  <si>
    <t xml:space="preserve">https://www.amazon.in/Noise-Truly-Wireless-Bluetooth-Earbuds/dp/B0CYPZLV8C/ref=sr_1_35</t>
  </si>
  <si>
    <t xml:space="preserve">Other: Original</t>
  </si>
  <si>
    <t xml:space="preserve">B0H8J2BP95</t>
  </si>
  <si>
    <t xml:space="preserve">Original Bluetooth Earbuds for Oppo Find N2 Buds 2 Pro Earbuds, in-Built Mic, Clear Voice Calls, Lightweight Design, Long Battery Backup, Easy Touch Controls, Daily Use Black (48 Hours Case,1TB)</t>
  </si>
  <si>
    <t xml:space="preserve">₹1,989</t>
  </si>
  <si>
    <t xml:space="preserve">https://www.amazon.in/Original-Bluetooth-Earbuds-Lightweight-Controls/dp/B0H8J2BP95/ref=sr_1_36</t>
  </si>
  <si>
    <t xml:space="preserve">B0DK96DPY6</t>
  </si>
  <si>
    <t xml:space="preserve">https://www.amazon.in/Noise-Bluetooth-Adaptive-Immersive-Playtime/dp/B0DK96DPY6/ref=sr_1_37</t>
  </si>
  <si>
    <t xml:space="preserve">B0H6B3HXXG</t>
  </si>
  <si>
    <t xml:space="preserve">https://www.amazon.in/GOBOULT-Launched-Playtime-Bluetooth-Wireless/dp/B0H6B3HXXG/ref=sr_1_38</t>
  </si>
  <si>
    <t xml:space="preserve">B0CYPYZF64</t>
  </si>
  <si>
    <t xml:space="preserve">https://www.amazon.in/Noise-Launched-Wireless-Playtime-Instacharge/dp/B0CYPYZF64/ref=sr_1_39</t>
  </si>
  <si>
    <t xml:space="preserve">B0C23JN62Z</t>
  </si>
  <si>
    <t xml:space="preserve">https://www.amazon.in/Noise-Wireless-Earbuds-Playtime-Equalizer/dp/B0C23JN62Z/ref=sr_1_40</t>
  </si>
  <si>
    <t xml:space="preserve">B0GXBBD73Q</t>
  </si>
  <si>
    <t xml:space="preserve">https://www.amazon.in/boAt-Airdopes-Powerful-Playback-Bluetooth/dp/B0GXBBD73Q/ref=sr_1_41</t>
  </si>
  <si>
    <t xml:space="preserve">boAt Chrome Horizon</t>
  </si>
  <si>
    <t xml:space="preserve">B0F491YC5Q</t>
  </si>
  <si>
    <t xml:space="preserve">₹2,594</t>
  </si>
  <si>
    <t xml:space="preserve">https://www.amazon.in/dp/B0F491YC5Q</t>
  </si>
  <si>
    <t xml:space="preserve">Other: Fire</t>
  </si>
  <si>
    <t xml:space="preserve">B0F992RNJF</t>
  </si>
  <si>
    <t xml:space="preserve">Fire-Boltt</t>
  </si>
  <si>
    <t xml:space="preserve">https://www.amazon.in/dp/B0F992RNJF</t>
  </si>
  <si>
    <t xml:space="preserve">B0FLY818W5</t>
  </si>
  <si>
    <t xml:space="preserve">₹3,999</t>
  </si>
  <si>
    <t xml:space="preserve">https://www.amazon.in/Premium-Insights-Advanced-Processor-Sterling/dp/B0FLY818W5/ref=sr_1_4</t>
  </si>
  <si>
    <t xml:space="preserve">B0CP9PLWTF</t>
  </si>
  <si>
    <t xml:space="preserve">https://www.amazon.in/dp/B0CP9PLWTF</t>
  </si>
  <si>
    <t xml:space="preserve">B0BN1ZG1QZ</t>
  </si>
  <si>
    <t xml:space="preserve">NoiseFit Halo 1.43" AMOLED Display, Bluetooth Calling Round Dial Smart Watch, Premium Metallic Build, Always on Display, Smart Gesture Control, 100 Sports Modes (Vintage Brown)</t>
  </si>
  <si>
    <t xml:space="preserve">https://www.amazon.in/dp/B0BN1ZG1QZ</t>
  </si>
  <si>
    <t xml:space="preserve">B0FLY7SKD2</t>
  </si>
  <si>
    <t xml:space="preserve">₹3,799</t>
  </si>
  <si>
    <t xml:space="preserve">https://www.amazon.in/Chrome-Endeavour-Insights-Processor-Watchface/dp/B0FLY7SKD2/ref=sr_1_7</t>
  </si>
  <si>
    <t xml:space="preserve">B0DSFQ2RLV</t>
  </si>
  <si>
    <t xml:space="preserve">₹2,199</t>
  </si>
  <si>
    <t xml:space="preserve">https://www.amazon.in/boAt-smartwatch-Display-Personalized-Functional/dp/B0DSFQ2RLV/ref=sr_1_8</t>
  </si>
  <si>
    <t xml:space="preserve">B0GMK1YDVZ</t>
  </si>
  <si>
    <t xml:space="preserve">https://www.amazon.in/dp/B0GMK1YDVZ</t>
  </si>
  <si>
    <t xml:space="preserve">B0FNCPKFP6</t>
  </si>
  <si>
    <t xml:space="preserve">₹7,999</t>
  </si>
  <si>
    <t xml:space="preserve">https://www.amazon.in/dp/B0FNCPKFP6</t>
  </si>
  <si>
    <t xml:space="preserve">B0D6N5V9PY</t>
  </si>
  <si>
    <t xml:space="preserve">₹3,499</t>
  </si>
  <si>
    <t xml:space="preserve">https://www.amazon.in/Noise-Launched-Functional-Stainless-Transition/dp/B0D6N5V9PY/ref=sr_1_11</t>
  </si>
  <si>
    <t xml:space="preserve">B0DSFQ434R</t>
  </si>
  <si>
    <t xml:space="preserve">https://www.amazon.in/boAt-Ultima-Ember-Smartwatch-Personalized/dp/B0DSFQ434R/ref=sr_1_12</t>
  </si>
  <si>
    <t xml:space="preserve">B0CF1NTL6M</t>
  </si>
  <si>
    <t xml:space="preserve">https://www.amazon.in/boAt-Advanced-Bluetooth-Functional-Monitoring/dp/B0CF1NTL6M/ref=sr_1_14</t>
  </si>
  <si>
    <t xml:space="preserve">B0CG1T39PB</t>
  </si>
  <si>
    <t xml:space="preserve">https://www.amazon.in/Noise-Launched-Endeavour-Display-Calling/dp/B0CG1T39PB/ref=sr_1_16</t>
  </si>
  <si>
    <t xml:space="preserve">Other: Fastrack</t>
  </si>
  <si>
    <t xml:space="preserve">B0FLYHD5MD</t>
  </si>
  <si>
    <t xml:space="preserve">Fastrack</t>
  </si>
  <si>
    <t xml:space="preserve">₹3,599</t>
  </si>
  <si>
    <t xml:space="preserve">https://www.amazon.in/Fastrack-Commands-Metallic-Functional-multisport/dp/B0FLYHD5MD/ref=sr_1_17</t>
  </si>
  <si>
    <t xml:space="preserve">B0GH878CBZ</t>
  </si>
  <si>
    <t xml:space="preserve">https://www.amazon.in/Fire-Boltt-Phoenix-Smartwatch-Display-Bluetooth/dp/B0GH878CBZ/ref=sr_1_18</t>
  </si>
  <si>
    <t xml:space="preserve">Other: Redmi</t>
  </si>
  <si>
    <t xml:space="preserve">B0DH2SRQ3L</t>
  </si>
  <si>
    <t xml:space="preserve">Redmi</t>
  </si>
  <si>
    <t xml:space="preserve">https://www.amazon.in/Redmi-Watch-Lite-Bluetooth-Reduction/dp/B0DH2SRQ3L/ref=sr_1_19</t>
  </si>
  <si>
    <t xml:space="preserve">B0GMJYSSRH</t>
  </si>
  <si>
    <t xml:space="preserve">https://www.amazon.in/Noise-Unlimited-Display-Functional-Metallic/dp/B0GMJYSSRH/ref=sr_1_20</t>
  </si>
  <si>
    <t xml:space="preserve">B0DQCSHCQ6</t>
  </si>
  <si>
    <t xml:space="preserve">₹4,999</t>
  </si>
  <si>
    <t xml:space="preserve">https://www.amazon.in/Noise-NoiseFit-Endeavour-Smartwatch-Silver/dp/B0DQCSHCQ6/ref=sr_1_21</t>
  </si>
  <si>
    <t xml:space="preserve">B0CQ4HSR2D</t>
  </si>
  <si>
    <t xml:space="preserve">https://www.amazon.in/Noise-Smartwatch-Calling-Tracking-Monitoring/dp/B0CQ4HSR2D/ref=sr_1_22</t>
  </si>
  <si>
    <t xml:space="preserve">B0BN1X7ZVT</t>
  </si>
  <si>
    <t xml:space="preserve">NoiseFit Halo 1.43" AMOLED Display, Bluetooth Calling Round Dial Smart Watch, Premium Metallic Build, Always on Display, Smart Gesture Control, 100 Sports Modes (Classic Black)</t>
  </si>
  <si>
    <t xml:space="preserve">https://www.amazon.in/dp/B0BN1X7ZVT</t>
  </si>
  <si>
    <t xml:space="preserve">B0G3PVS17V</t>
  </si>
  <si>
    <t xml:space="preserve">https://www.amazon.in/GOBOULT-Saber-Functional-Watchfaces-Brightness/dp/B0G3PVS17V/ref=sr_1_20</t>
  </si>
  <si>
    <t xml:space="preserve">B0F8GP4FL1</t>
  </si>
  <si>
    <t xml:space="preserve">https://www.amazon.in/CrossBeats-Everest-Display-Bluetooth-Smartwatch/dp/B0F8GP4FL1/ref=sr_1_21</t>
  </si>
  <si>
    <t xml:space="preserve">B0GQQLW352</t>
  </si>
  <si>
    <t xml:space="preserve">2-Pack Screen Protector for Boat Chrome Horizon 1.51 inch Smartwatch – Flexible TPU Screen Guard, HD Clear, Anti Scratch, Bubble Free, Full Coverage Film – Not Tempered Glass</t>
  </si>
  <si>
    <t xml:space="preserve">₹149</t>
  </si>
  <si>
    <t xml:space="preserve">https://www.amazon.in/HELLOSCREEN-Boat-Chrome-Horizon-Smartwatch/dp/B0GQQLW352/ref=sr_1_22</t>
  </si>
  <si>
    <t xml:space="preserve">B0GTZY4H8T</t>
  </si>
  <si>
    <t xml:space="preserve">2 Pack Smartwatch Screen Protector for Boat Chrome Horizon 1.51 inch – Flexible TPU Screen Guard, Ultra Thin, Scratch Resistant, Bubble Free, Full Coverage – Not Tempered Glass</t>
  </si>
  <si>
    <t xml:space="preserve">https://www.amazon.in/PROTECTERR-Smartwatch-Protector-Chrome-Horizon/dp/B0GTZY4H8T/ref=sr_1_23</t>
  </si>
  <si>
    <t xml:space="preserve">B0FYFP7WLF</t>
  </si>
  <si>
    <t xml:space="preserve">Screen Protector Screenguard Compatible With BoAt Chrome Horizon (1.51 Inch), Edge to Edge Hydrogel TPU Screen Guard not a Tempered Glass (Pack of 3)</t>
  </si>
  <si>
    <t xml:space="preserve">₹229</t>
  </si>
  <si>
    <t xml:space="preserve">https://www.amazon.in/TELTREK-Screenguard-Compatible-Chrome-Horizon/dp/B0FYFP7WLF/ref=sr_1_24</t>
  </si>
  <si>
    <t xml:space="preserve">B0G35LCBM8</t>
  </si>
  <si>
    <t xml:space="preserve">3 Pack Screen Protector Compatible With BoAt Chrome Horizon (1.51 Inch) TPU Screen Guard Not a Tempered Glass</t>
  </si>
  <si>
    <t xml:space="preserve">https://www.amazon.in/ZINGTEL-Compatible-BoAt-Chrome-Horizon/dp/B0G35LCBM8/ref=sr_1_25</t>
  </si>
  <si>
    <t xml:space="preserve">Other: Wisely</t>
  </si>
  <si>
    <t xml:space="preserve">B0FCY78Y66</t>
  </si>
  <si>
    <t xml:space="preserve">Wisely</t>
  </si>
  <si>
    <t xml:space="preserve">₹150</t>
  </si>
  <si>
    <t xml:space="preserve">https://www.amazon.in/Wisely-Boat-Chrome-Horizon-Anti-Scratch/dp/B0FCY78Y66/ref=sr_1_26</t>
  </si>
  <si>
    <t xml:space="preserve">Other: AONES</t>
  </si>
  <si>
    <t xml:space="preserve">B0FBX6RRGH</t>
  </si>
  <si>
    <t xml:space="preserve">AONES</t>
  </si>
  <si>
    <t xml:space="preserve">₹359</t>
  </si>
  <si>
    <t xml:space="preserve">https://www.amazon.in/AONES-Leather-Silicone-Compatible-Smartwatch/dp/B0FBX6RRGH/ref=sr_1_27</t>
  </si>
  <si>
    <t xml:space="preserve">B0FC1R4J3Z</t>
  </si>
  <si>
    <t xml:space="preserve">₹449</t>
  </si>
  <si>
    <t xml:space="preserve">https://www.amazon.in/AONES-Magnetic-Silicone-Compatible-Smartwatch/dp/B0FC1R4J3Z/ref=sr_1_28</t>
  </si>
  <si>
    <t xml:space="preserve">B0FC1P2H4N</t>
  </si>
  <si>
    <t xml:space="preserve">https://www.amazon.in/AONES-Magnetic-Silicone-Compatible-Smartwatch/dp/B0FC1P2H4N/ref=sr_1_29</t>
  </si>
  <si>
    <t xml:space="preserve">B0FC1P14N1</t>
  </si>
  <si>
    <t xml:space="preserve">https://www.amazon.in/AONES-Magnetic-Silicone-Compatible-Smartwatch/dp/B0FC1P14N1/ref=sr_1_30</t>
  </si>
  <si>
    <t xml:space="preserve">B0FC1RTCYK</t>
  </si>
  <si>
    <t xml:space="preserve">https://www.amazon.in/AONES-Magnetic-Silicone-Compatible-Smartwatch/dp/B0FC1RTCYK/ref=sr_1_31</t>
  </si>
  <si>
    <t xml:space="preserve">B0FC1JJXQB</t>
  </si>
  <si>
    <t xml:space="preserve">₹429</t>
  </si>
  <si>
    <t xml:space="preserve">https://www.amazon.in/AONES-Silicone-Compatible-Horizon-Smartwatch/dp/B0FC1JJXQB/ref=sr_1_32</t>
  </si>
  <si>
    <t xml:space="preserve">B0FD35ZGC4</t>
  </si>
  <si>
    <t xml:space="preserve">₹469</t>
  </si>
  <si>
    <t xml:space="preserve">https://www.amazon.in/AONES-Silicone-Magnetic-Compatible-Smartwatch/dp/B0FD35ZGC4/ref=sr_1_33</t>
  </si>
  <si>
    <t xml:space="preserve">B0FC1WRY8T</t>
  </si>
  <si>
    <t xml:space="preserve">https://www.amazon.in/AONES-Silicone-Compatible-Horizon-Smartwatch/dp/B0FC1WRY8T/ref=sr_1_34</t>
  </si>
  <si>
    <t xml:space="preserve">Other: YODI</t>
  </si>
  <si>
    <t xml:space="preserve">B0FRY2YHDD</t>
  </si>
  <si>
    <t xml:space="preserve">YODI</t>
  </si>
  <si>
    <t xml:space="preserve">https://www.amazon.in/YODI-Parasuit-Compatible-Smartwatch-Accessories/dp/B0FRY2YHDD/ref=sr_1_35</t>
  </si>
  <si>
    <t xml:space="preserve">boAt Lunar Vista</t>
  </si>
  <si>
    <t xml:space="preserve">B0DFYL4635</t>
  </si>
  <si>
    <t xml:space="preserve">https://www.amazon.in/dp/B0DFYL4635</t>
  </si>
  <si>
    <t xml:space="preserve">https://www.amazon.in/boAt-Advanced-Bluetooth-Functional-Monitoring/dp/B0CF1NTL6M/ref=sr_1_3</t>
  </si>
  <si>
    <t xml:space="preserve">B0G1T2GZP9</t>
  </si>
  <si>
    <t xml:space="preserve">https://www.amazon.in/Discovery-Metallic-Animated-Watchfaces-Bluetooth/dp/B0G1T2GZP9/ref=sr_1_4</t>
  </si>
  <si>
    <t xml:space="preserve">B0GH7Q2SH2</t>
  </si>
  <si>
    <t xml:space="preserve">https://www.amazon.in/dp/B0GH7Q2SH2</t>
  </si>
  <si>
    <t xml:space="preserve">B0F493G266</t>
  </si>
  <si>
    <t xml:space="preserve">https://www.amazon.in/dp/B0F493G266</t>
  </si>
  <si>
    <t xml:space="preserve">B0DFYL5DX5</t>
  </si>
  <si>
    <t xml:space="preserve">https://www.amazon.in/boAt-Lunar-Discovery-Navigation-Bluetooth/dp/B0DFYL5DX5/ref=sr_1_7</t>
  </si>
  <si>
    <t xml:space="preserve">B0FLK54XSP</t>
  </si>
  <si>
    <t xml:space="preserve">₹1,699</t>
  </si>
  <si>
    <t xml:space="preserve">https://www.amazon.in/Discovery-Emergency-Functional-Multiple-Tracking/dp/B0FLK54XSP/ref=sr_1_8</t>
  </si>
  <si>
    <t xml:space="preserve">B0DKBZYXZY</t>
  </si>
  <si>
    <t xml:space="preserve">https://www.amazon.in/dp/B0DKBZYXZY</t>
  </si>
  <si>
    <t xml:space="preserve">B0C496V772</t>
  </si>
  <si>
    <t xml:space="preserve">https://www.amazon.in/dp/B0C496V772</t>
  </si>
  <si>
    <t xml:space="preserve">B0GLPF5GBP</t>
  </si>
  <si>
    <t xml:space="preserve">₹1,619.10</t>
  </si>
  <si>
    <t xml:space="preserve">https://www.amazon.in/Fastrack-Jupiter-Display-Charging-Calling/dp/B0GLPF5GBP/ref=sr_1_11</t>
  </si>
  <si>
    <t xml:space="preserve">B0H5Q7JPHP</t>
  </si>
  <si>
    <t xml:space="preserve">https://www.amazon.in/boAt-Metallic-Tracking-Bluetooth-Emergency/dp/B0H5Q7JPHP/ref=sr_1_12</t>
  </si>
  <si>
    <t xml:space="preserve">B0F2YZ22LK</t>
  </si>
  <si>
    <t xml:space="preserve">https://www.amazon.in/Fire-Boltt-Stainless-Bluetooth-Monitoring-Assistant/dp/B0F2YZ22LK/ref=sr_1_14</t>
  </si>
  <si>
    <t xml:space="preserve">B0BRKXXPZ7</t>
  </si>
  <si>
    <t xml:space="preserve">https://www.amazon.in/Fire-Boltt-Bluetooth-Smartwatch-Assistant-Monitoring/dp/B0BRKXXPZ7/ref=sr_1_15</t>
  </si>
  <si>
    <t xml:space="preserve">B0BJ72WZQ7</t>
  </si>
  <si>
    <t xml:space="preserve">https://www.amazon.in/Noise-Launched-Bluetooth-Calling-Tracking/dp/B0BJ72WZQ7/ref=sr_1_16</t>
  </si>
  <si>
    <t xml:space="preserve">https://www.amazon.in/boAt-smartwatch-Display-Personalized-Functional/dp/B0DSFQ2RLV/ref=sr_1_17</t>
  </si>
  <si>
    <t xml:space="preserve">B0H2HGLNQP</t>
  </si>
  <si>
    <t xml:space="preserve">₹2,099</t>
  </si>
  <si>
    <t xml:space="preserve">https://www.amazon.in/boAt-Smartwatch-Brightness-Personalized-Functional/dp/B0H2HGLNQP/ref=sr_1_18</t>
  </si>
  <si>
    <t xml:space="preserve">B0H5QHD6VY</t>
  </si>
  <si>
    <t xml:space="preserve">https://www.amazon.in/boAt-Metallic-Tracking-Bluetooth-Emergency/dp/B0H5QHD6VY/ref=sr_1_19</t>
  </si>
  <si>
    <t xml:space="preserve">B0BY2R74YW</t>
  </si>
  <si>
    <t xml:space="preserve">https://www.amazon.in/Fire-Boltt-Bluetooth-Calling-Smartwatch-Assistance/dp/B0BY2R74YW/ref=sr_1_20</t>
  </si>
  <si>
    <t xml:space="preserve">B0GX9F6XY6</t>
  </si>
  <si>
    <t xml:space="preserve">https://www.amazon.in/boAt-Smartwatch-Charging-Functional-Tracking/dp/B0GX9F6XY6/ref=sr_1_21</t>
  </si>
  <si>
    <t xml:space="preserve">B0H5QGRDX8</t>
  </si>
  <si>
    <t xml:space="preserve">https://www.amazon.in/boAt-Metallic-Tracking-Bluetooth-Emergency/dp/B0H5QGRDX8/ref=sr_1_22</t>
  </si>
  <si>
    <t xml:space="preserve">B0B3RRWSF6</t>
  </si>
  <si>
    <t xml:space="preserve">https://www.amazon.in/dp/B0B3RRWSF6</t>
  </si>
  <si>
    <t xml:space="preserve">B0CMF25TKG</t>
  </si>
  <si>
    <t xml:space="preserve">Fire‑Boltt Rise Smart Watch 1.85″ HD Display with Bluetooth Calling, AI Voice Assistant, Rotating Crown,SpO2 &amp; Heart Rate Monitor, 120+ Sports Modes,IP67 Waterproof Smart Watch for Men &amp; Women - Black</t>
  </si>
  <si>
    <t xml:space="preserve">https://www.amazon.in/dp/B0CMF25TKG</t>
  </si>
  <si>
    <t xml:space="preserve">Other: Nervfit</t>
  </si>
  <si>
    <t xml:space="preserve">B0DW9B76RV</t>
  </si>
  <si>
    <t xml:space="preserve">Nervfit</t>
  </si>
  <si>
    <t xml:space="preserve">₹1,565</t>
  </si>
  <si>
    <t xml:space="preserve">https://www.amazon.in/dp/B0DW9B76RV</t>
  </si>
  <si>
    <t xml:space="preserve">B0FBMGHL22</t>
  </si>
  <si>
    <t xml:space="preserve">https://www.amazon.in/boAt-Infinity-Maximum-Capacity-Functional/dp/B0FBMGHL22/ref=sr_1_20</t>
  </si>
  <si>
    <t xml:space="preserve">B0CM38JVX4</t>
  </si>
  <si>
    <t xml:space="preserve">https://www.amazon.in/boAt-Embrace-Functional-Metal-Built-Animated/dp/B0CM38JVX4/ref=sr_1_21</t>
  </si>
  <si>
    <t xml:space="preserve">B0GPDRBRBX</t>
  </si>
  <si>
    <t xml:space="preserve">https://www.amazon.in/boAt-Smartwatch-Immersive-Functional-Monitoring/dp/B0GPDRBRBX/ref=sr_1_22</t>
  </si>
  <si>
    <t xml:space="preserve">B0G4MFK5MD</t>
  </si>
  <si>
    <t xml:space="preserve">https://www.amazon.in/AuraVue-Display-Brightness-Premium-Bluetooth/dp/B0G4MFK5MD/ref=sr_1_23</t>
  </si>
  <si>
    <t xml:space="preserve">B0FLK5LQ6X</t>
  </si>
  <si>
    <t xml:space="preserve">https://www.amazon.in/boAt-Lunar-Discovery-Emergency-Functional/dp/B0FLK5LQ6X/ref=sr_1_24</t>
  </si>
  <si>
    <t xml:space="preserve">B0GPDV4GGT</t>
  </si>
  <si>
    <t xml:space="preserve">https://www.amazon.in/boAt-Brightness-Monitoring-Tracking-Smartwatch/dp/B0GPDV4GGT/ref=sr_1_25</t>
  </si>
  <si>
    <t xml:space="preserve">B0DFYLCMZF</t>
  </si>
  <si>
    <t xml:space="preserve">₹3,299</t>
  </si>
  <si>
    <t xml:space="preserve">https://www.amazon.in/boAt-Enigma-Radiant-Functional-Breathing/dp/B0DFYLCMZF/ref=sr_1_26</t>
  </si>
  <si>
    <t xml:space="preserve">https://www.amazon.in/boAt-Auto-Activity-Detection-Advanced-Bluetooth/dp/B0F491YC5Q/ref=sr_1_27</t>
  </si>
  <si>
    <t xml:space="preserve">B0FBMDRLD2</t>
  </si>
  <si>
    <t xml:space="preserve">https://www.amazon.in/boAt-Advanced-sensors-Battery-Display/dp/B0FBMDRLD2/ref=sr_1_28</t>
  </si>
  <si>
    <t xml:space="preserve">B0H1J1ZDVW</t>
  </si>
  <si>
    <t xml:space="preserve">https://www.amazon.in/boAt-Smartwatch-Display-Brightness-Premium/dp/B0H1J1ZDVW/ref=sr_1_29</t>
  </si>
  <si>
    <t xml:space="preserve">B0CG1Y3336</t>
  </si>
  <si>
    <t xml:space="preserve">https://www.amazon.in/Noise-Launched-Display-Calling-Battery/dp/B0CG1Y3336/ref=sr_1_30</t>
  </si>
  <si>
    <t xml:space="preserve">B0FLY8HT7H</t>
  </si>
  <si>
    <t xml:space="preserve">https://www.amazon.in/Premium-Display-Insights-Advanced-Processor/dp/B0FLY8HT7H/ref=sr_1_31</t>
  </si>
  <si>
    <t xml:space="preserve">B0D4ZFTLPX</t>
  </si>
  <si>
    <t xml:space="preserve">https://www.amazon.in/Noise-ColorFit-Pulse-Smartwatch-Mocha/dp/B0D4ZFTLPX/ref=sr_1_32</t>
  </si>
  <si>
    <t xml:space="preserve">B0F2Z1Q4W4</t>
  </si>
  <si>
    <t xml:space="preserve">https://www.amazon.in/Fire-Boltt-Bluetooth-Wireless-Charging-Assistant/dp/B0F2Z1Q4W4/ref=sr_1_33</t>
  </si>
  <si>
    <t xml:space="preserve">B0FLXJLZR1</t>
  </si>
  <si>
    <t xml:space="preserve">https://www.amazon.in/Enigma-Brightness-Emergency-Wellness-Tracking/dp/B0FLXJLZR1/ref=sr_1_34</t>
  </si>
  <si>
    <t xml:space="preserve">B0DNQQ67JY</t>
  </si>
  <si>
    <t xml:space="preserve">https://www.amazon.in/Noise-Vibrant-Bluetooth-Metallic-Assistance/dp/B0DNQQ67JY/ref=sr_1_35</t>
  </si>
  <si>
    <t xml:space="preserve">Noise ColorFit Ultra 3</t>
  </si>
  <si>
    <t xml:space="preserve">B0GMKL443R</t>
  </si>
  <si>
    <t xml:space="preserve">NoiseFit Halo Limited Edition 1.43" AMOLED Display, Bluetooth Calling Round Dial Smart Watch, Premium Metallic Build, Always on Display, Smart Gesture Control, 100 Sports Modes (Midnight Alloy)</t>
  </si>
  <si>
    <t xml:space="preserve">₹2,699</t>
  </si>
  <si>
    <t xml:space="preserve">https://www.amazon.in/dp/B0GMKL443R</t>
  </si>
  <si>
    <t xml:space="preserve">B0D7QKQMZP</t>
  </si>
  <si>
    <t xml:space="preserve">https://www.amazon.in/dp/B0D7QKQMZP</t>
  </si>
  <si>
    <t xml:space="preserve">B0CQRQK8L8</t>
  </si>
  <si>
    <t xml:space="preserve">https://www.amazon.in/Noise-Launched-Bluetooth-Detection-Smartwatch/dp/B0CQRQK8L8/ref=sr_1_3</t>
  </si>
  <si>
    <t xml:space="preserve">B0D6GK2871</t>
  </si>
  <si>
    <t xml:space="preserve">https://www.amazon.in/Noise-Display-Functional-Premium-Metallic/dp/B0D6GK2871/ref=sr_1_4</t>
  </si>
  <si>
    <t xml:space="preserve">B0FNCQ7MLT</t>
  </si>
  <si>
    <t xml:space="preserve">https://www.amazon.in/dp/B0FNCQ7MLT</t>
  </si>
  <si>
    <t xml:space="preserve">B0GMK4ZJPX</t>
  </si>
  <si>
    <t xml:space="preserve">https://www.amazon.in/dp/B0GMK4ZJPX</t>
  </si>
  <si>
    <t xml:space="preserve">B0CQ4JT6NT</t>
  </si>
  <si>
    <t xml:space="preserve">https://www.amazon.in/Noise-Smartwatch-Calling-Tracking-Monitoring/dp/B0CQ4JT6NT/ref=sr_1_7</t>
  </si>
  <si>
    <t xml:space="preserve">B0F5HRC4QC</t>
  </si>
  <si>
    <t xml:space="preserve">https://www.amazon.in/Fastrack-Limitless-Calling-Assistant-Tracking/dp/B0F5HRC4QC/ref=sr_1_8</t>
  </si>
  <si>
    <t xml:space="preserve">https://www.amazon.in/dp/B0GMJYSSRH</t>
  </si>
  <si>
    <t xml:space="preserve">B0DMF23B83</t>
  </si>
  <si>
    <t xml:space="preserve">https://www.amazon.in/dp/B0DMF23B83</t>
  </si>
  <si>
    <t xml:space="preserve">B0GMK64GS1</t>
  </si>
  <si>
    <t xml:space="preserve">https://www.amazon.in/Noise-Display-Bluetooth-Brightness-Smartwatch/dp/B0GMK64GS1/ref=sr_1_11</t>
  </si>
  <si>
    <t xml:space="preserve">https://www.amazon.in/Noise-Launched-Display-Calling-Battery/dp/B0CG1Y3336/ref=sr_1_12</t>
  </si>
  <si>
    <t xml:space="preserve">B0D1KH77GD</t>
  </si>
  <si>
    <t xml:space="preserve">https://www.amazon.in/Noise-Luminary-Personalised-Notification-Lumilert/dp/B0D1KH77GD/ref=sr_1_13</t>
  </si>
  <si>
    <t xml:space="preserve">B0D9VWBRYT</t>
  </si>
  <si>
    <t xml:space="preserve">₹199</t>
  </si>
  <si>
    <t xml:space="preserve">https://www.amazon.in/Wisely-Noise-Colorfit-Ultra-Transparent/dp/B0D9VWBRYT/ref=sr_1_14</t>
  </si>
  <si>
    <t xml:space="preserve">Other: Colorcase</t>
  </si>
  <si>
    <t xml:space="preserve">B0DZC1YYTY</t>
  </si>
  <si>
    <t xml:space="preserve">Colorcase</t>
  </si>
  <si>
    <t xml:space="preserve">https://www.amazon.in/Colorcase-Smart-Silicon-Compatible-ColorFit/dp/B0DZC1YYTY/ref=sr_1_15</t>
  </si>
  <si>
    <t xml:space="preserve">B0C46LH3MH</t>
  </si>
  <si>
    <t xml:space="preserve">https://www.amazon.in/Wisely-Pack-SmartWatch-Protector-Compatible/dp/B0C46LH3MH/ref=sr_1_16_mod_primary_new</t>
  </si>
  <si>
    <t xml:space="preserve">B09HN6QB25</t>
  </si>
  <si>
    <t xml:space="preserve">Noise ColorFit Charger for TWIST/Pulse 2 Max/Pulse Go Buzz/Halo/Halo Plus/Pulse Grand/Quad Call/ColorFit Pro 4/Pro 4 Alpha/ColorFit Pulse/Pulse 3/ColorFit Ultra/Ultra 3/Pulse Buzz smartwatches</t>
  </si>
  <si>
    <t xml:space="preserve">₹169</t>
  </si>
  <si>
    <t xml:space="preserve">https://www.amazon.in/iTronix-Replacement-ColorFit-NoiseFit-Smartwatches/dp/B09HN6QB25/ref=sr_1_17</t>
  </si>
  <si>
    <t xml:space="preserve">B0DGXRLS1C</t>
  </si>
  <si>
    <t xml:space="preserve">https://www.amazon.in/Noise-Pro-Smart-Watch-Intelligent/dp/B0DGXRLS1C/ref=sr_1_18</t>
  </si>
  <si>
    <t xml:space="preserve">Other: ZELFO</t>
  </si>
  <si>
    <t xml:space="preserve">B0C3LP4XYW</t>
  </si>
  <si>
    <t xml:space="preserve">ZELFO</t>
  </si>
  <si>
    <t xml:space="preserve">₹219</t>
  </si>
  <si>
    <t xml:space="preserve">https://www.amazon.in/ZELFO-Smart-Silicone-Compatible-ColorFit/dp/B0C3LP4XYW/ref=sr_1_19</t>
  </si>
  <si>
    <t xml:space="preserve">B0C5X2JV72</t>
  </si>
  <si>
    <t xml:space="preserve">https://www.amazon.in/Noise-Smartwatch-Diamond-Metallic-Display/dp/B0C5X2JV72/ref=sr_1_20</t>
  </si>
  <si>
    <t xml:space="preserve">B0FQVDMGJ4</t>
  </si>
  <si>
    <t xml:space="preserve">https://www.amazon.in/Noise-NoiseFit-Halo-Smartwatch-Vintage/dp/B0FQVDMGJ4/ref=sr_1_21</t>
  </si>
  <si>
    <t xml:space="preserve">B0CFYP7XR3</t>
  </si>
  <si>
    <t xml:space="preserve">https://www.amazon.in/Noise-Biggest-personalization-Productivity-Rosegold/dp/B0CFYP7XR3/ref=sr_1_22</t>
  </si>
  <si>
    <t xml:space="preserve">B0CQRRNNS4</t>
  </si>
  <si>
    <t xml:space="preserve">https://www.amazon.in/dp/B0CQRRNNS4</t>
  </si>
  <si>
    <t xml:space="preserve">B0B6BLTGTT</t>
  </si>
  <si>
    <t xml:space="preserve">https://www.amazon.in/dp/B0B6BLTGTT</t>
  </si>
  <si>
    <t xml:space="preserve">Other: ACM</t>
  </si>
  <si>
    <t xml:space="preserve">B0C3VG4LJF</t>
  </si>
  <si>
    <t xml:space="preserve">ACM</t>
  </si>
  <si>
    <t xml:space="preserve">₹289</t>
  </si>
  <si>
    <t xml:space="preserve">https://www.amazon.in/ACM-Silicone-Compatible-Colorfit-Smartwatch/dp/B0C3VG4LJF/ref=sr_1_20</t>
  </si>
  <si>
    <t xml:space="preserve">Other: CERLINK</t>
  </si>
  <si>
    <t xml:space="preserve">B0DXD6KV4D</t>
  </si>
  <si>
    <t xml:space="preserve">CERLINK</t>
  </si>
  <si>
    <t xml:space="preserve">₹159</t>
  </si>
  <si>
    <t xml:space="preserve">https://www.amazon.in/CERLINK-Magnetic-Charging-Cable-ColorFit/dp/B0DXD6KV4D/ref=sr_1_21</t>
  </si>
  <si>
    <t xml:space="preserve">B0BG5H62DN</t>
  </si>
  <si>
    <t xml:space="preserve">https://www.amazon.in/ACM-Stainless-compatible-Evolve-Smartwatch/dp/B0BG5H62DN/ref=sr_1_22</t>
  </si>
  <si>
    <t xml:space="preserve">B0GTPSFZ9R</t>
  </si>
  <si>
    <t xml:space="preserve">2 Pack Smartwatch Screen Protector for Noise ColorFit Ultra 3 1.96 inch – Flexible TPU Screen Guard, Ultra Thin, Scratch Resistant, Bubble Free, Full Coverage – Not Tempered Glass</t>
  </si>
  <si>
    <t xml:space="preserve">https://www.amazon.in/PROTECTERR-Smartwatch-Noise-ColorFit-Ultra/dp/B0GTPSFZ9R/ref=sr_1_23</t>
  </si>
  <si>
    <t xml:space="preserve">B0C3LP2P1S</t>
  </si>
  <si>
    <t xml:space="preserve">Smart Watch Strap Compatible with Noise ColorFit Ultra 3 Smart Watch - Soft Silicone Strap</t>
  </si>
  <si>
    <t xml:space="preserve">https://www.amazon.in/MELFO-Smart-Watch-Compatible-ColorFit/dp/B0C3LP2P1S/ref=sr_1_24</t>
  </si>
  <si>
    <t xml:space="preserve">B0C1Y19GTZ</t>
  </si>
  <si>
    <t xml:space="preserve">22 mm Silicone Magnetic Watch Straps Belt Band Compatible with Noise ColorFit Ultra/Ultra 2, Pro 3, Active/GPS, Buzz, Core, Nav &amp; Nav+, Endure Smartwatch Straps,</t>
  </si>
  <si>
    <t xml:space="preserve">https://www.amazon.in/Silicone-Magnetic-Watch-Band-Compatible/dp/B0C1Y19GTZ/ref=sr_1_25</t>
  </si>
  <si>
    <t xml:space="preserve">Other: TKM</t>
  </si>
  <si>
    <t xml:space="preserve">B0D98HL4BJ</t>
  </si>
  <si>
    <t xml:space="preserve">TKM</t>
  </si>
  <si>
    <t xml:space="preserve">₹190</t>
  </si>
  <si>
    <t xml:space="preserve">https://www.amazon.in/TKM-Silicone-Compatible-Smartwatch-Replacement/dp/B0D98HL4BJ/ref=sr_1_26</t>
  </si>
  <si>
    <t xml:space="preserve">B0C3LNL5WQ</t>
  </si>
  <si>
    <t xml:space="preserve">Smart Watch Strap Compatible with Noise ColorFit Ultra 3 Smart Watch - Synthetic Leather Strap</t>
  </si>
  <si>
    <t xml:space="preserve">https://www.amazon.in/MELFO-Smart-Watch-Compatible-ColorFit/dp/B0C3LNL5WQ/ref=sr_1_27</t>
  </si>
  <si>
    <t xml:space="preserve">B0CX97FMBR</t>
  </si>
  <si>
    <t xml:space="preserve">https://www.amazon.in/Sounce-Magnetic-Charging-ColorFit-Smartwatches/dp/B0CX97FMBR/ref=sr_1_28</t>
  </si>
  <si>
    <t xml:space="preserve">B0F7FNNNJD</t>
  </si>
  <si>
    <t xml:space="preserve">₹379</t>
  </si>
  <si>
    <t xml:space="preserve">https://www.amazon.in/Colorcase-Smart-Stainless-Compatible-ColorFit/dp/B0F7FNNNJD/ref=sr_1_29</t>
  </si>
  <si>
    <t xml:space="preserve">B0BNLTW9BL</t>
  </si>
  <si>
    <t xml:space="preserve">22mm Watch Straps Belt Band Compatible with Noise ColorFit Ultra/Ultra 2, Vision, Caliber, Pro 3, Active/GPS, Buzz, Core, Nav &amp; Nav+, Endure Smartwatch Straps,Textured Design,</t>
  </si>
  <si>
    <t xml:space="preserve">https://www.amazon.in/22mm-Watch-Belt-Band-Compatible/dp/B0BNLTW9BL/ref=sr_1_30</t>
  </si>
  <si>
    <t xml:space="preserve">B0C6GNC9D5</t>
  </si>
  <si>
    <t xml:space="preserve">₹349</t>
  </si>
  <si>
    <t xml:space="preserve">https://www.amazon.in/AONES-Magnetic-Compatible-ColorFit-SmartWatch/dp/B0C6GNC9D5/ref=sr_1_31</t>
  </si>
  <si>
    <t xml:space="preserve">B0FHF5VCPR</t>
  </si>
  <si>
    <t xml:space="preserve">2 Pack | Smartwatch Screen Protector Guard for Noise Colorfit Ultra 3 | 1.96 inch | Flexible TPU Film, 9H Scratch Resistant, Bubble Free - Not a Tempered Glass</t>
  </si>
  <si>
    <t xml:space="preserve">https://www.amazon.in/HELLOSCREEN-Noise-Ultra-1-96-inch/dp/B0FHF5VCPR/ref=sr_1_32</t>
  </si>
  <si>
    <t xml:space="preserve">B0H83PPKPD</t>
  </si>
  <si>
    <t xml:space="preserve">Noise Original Watch Cable for Twist/Pulse 2 Max/Pulse Go Buzz/Halo/Halo Plus/Pulse Grand/Quad Call/ColorFit Pro 4/Pro 4 Alpha/ColorFit Pulse/Pulse 3/ColorFit Ultra/Ultra 3/Pulse Buzz Smartwatches</t>
  </si>
  <si>
    <t xml:space="preserve">₹129</t>
  </si>
  <si>
    <t xml:space="preserve">https://www.amazon.in/Noise-Original-Watch-ColorFit-Smartwatches/dp/B0H83PPKPD/ref=sr_1_33</t>
  </si>
  <si>
    <t xml:space="preserve">B0C3WJC28Y</t>
  </si>
  <si>
    <t xml:space="preserve">https://www.amazon.in/Wisely-Noise-ColorFit-Ultra-installation/dp/B0C3WJC28Y/ref=sr_1_34</t>
  </si>
  <si>
    <t xml:space="preserve">B0F6KMCBJJ</t>
  </si>
  <si>
    <t xml:space="preserve">₹269</t>
  </si>
  <si>
    <t xml:space="preserve">https://www.amazon.in/Colorcase-Smart-Watch-Compatible-ColorFit/dp/B0F6KMCBJJ/ref=sr_1_35</t>
  </si>
  <si>
    <t xml:space="preserve">Noise Alt Watch 1</t>
  </si>
  <si>
    <t xml:space="preserve">B0GT5BKZB2</t>
  </si>
  <si>
    <t xml:space="preserve">https://www.amazon.in/dp/B0GT5BKZB2</t>
  </si>
  <si>
    <t xml:space="preserve">B0D6N83X6D</t>
  </si>
  <si>
    <t xml:space="preserve">https://www.amazon.in/dp/B0D6N83X6D</t>
  </si>
  <si>
    <t xml:space="preserve">B0GT57JPXX</t>
  </si>
  <si>
    <t xml:space="preserve">https://www.amazon.in/Noise-Launched-Functional-Rotating-Brightness/dp/B0GT57JPXX/ref=sr_1_3</t>
  </si>
  <si>
    <t xml:space="preserve">B0GZW8CTBF</t>
  </si>
  <si>
    <t xml:space="preserve">https://www.amazon.in/Noise-Functional-Rotating-1000NITS-Brightness/dp/B0GZW8CTBF/ref=sr_1_4</t>
  </si>
  <si>
    <t xml:space="preserve">B0CQ4K11B1</t>
  </si>
  <si>
    <t xml:space="preserve">https://www.amazon.in/Noise-Smartwatch-Calling-Tracking-Monitoring/dp/B0CQ4K11B1/ref=sr_1_7</t>
  </si>
  <si>
    <t xml:space="preserve">https://www.amazon.in/Fastrack-Jupiter-Display-Charging-Calling/dp/B0GLPF5GBP/ref=sr_1_8</t>
  </si>
  <si>
    <t xml:space="preserve">https://www.amazon.in/dp/B0CG1Y3336</t>
  </si>
  <si>
    <t xml:space="preserve">B0GLPC25J2</t>
  </si>
  <si>
    <t xml:space="preserve">https://www.amazon.in/Fastrack-Jupiter-Display-Charging-Calling/dp/B0GLPC25J2/ref=sr_1_11</t>
  </si>
  <si>
    <t xml:space="preserve">Other: FCS</t>
  </si>
  <si>
    <t xml:space="preserve">B0H6P999WM</t>
  </si>
  <si>
    <t xml:space="preserve">FCS</t>
  </si>
  <si>
    <t xml:space="preserve">https://www.amazon.in/FCS-Coverage-Ultrathin-flexible-protector/dp/B0H6P999WM/ref=sr_1_12</t>
  </si>
  <si>
    <t xml:space="preserve">B0H4W189FT</t>
  </si>
  <si>
    <t xml:space="preserve">https://www.amazon.in/ACM-Watch-Strap-compatible-Smartwatch/dp/B0H4W189FT/ref=sr_1_13</t>
  </si>
  <si>
    <t xml:space="preserve">B0H4W5SZVW</t>
  </si>
  <si>
    <t xml:space="preserve">https://www.amazon.in/ACM-Watch-Strap-compatible-Smartwatch/dp/B0H4W5SZVW/ref=sr_1_14</t>
  </si>
  <si>
    <t xml:space="preserve">B0BMVRPGH5</t>
  </si>
  <si>
    <t xml:space="preserve">https://www.amazon.in/NoiseFit-Bluetooth-Functional-Assistance-Tracker/dp/B0BMVRPGH5/ref=sr_1_16</t>
  </si>
  <si>
    <t xml:space="preserve">Other: Titan</t>
  </si>
  <si>
    <t xml:space="preserve">B0GVYWSJHY</t>
  </si>
  <si>
    <t xml:space="preserve">Titan</t>
  </si>
  <si>
    <t xml:space="preserve">https://www.amazon.in/Titan-Smartwatch-assistant-Hydration-Multisports/dp/B0GVYWSJHY/ref=sr_1_17</t>
  </si>
  <si>
    <t xml:space="preserve">B0F8JF1R8X</t>
  </si>
  <si>
    <t xml:space="preserve">https://www.amazon.in/Noise-Assistant-Bluetooth-Calling-Stainless/dp/B0F8JF1R8X/ref=sr_1_18</t>
  </si>
  <si>
    <t xml:space="preserve">https://www.amazon.in/Noise-Vibrant-Bluetooth-Metallic-Assistance/dp/B0DNQQ67JY/ref=sr_1_19</t>
  </si>
  <si>
    <t xml:space="preserve">Other: TOMBIK</t>
  </si>
  <si>
    <t xml:space="preserve">B0H4H2ZQM5</t>
  </si>
  <si>
    <t xml:space="preserve">TOMBIK</t>
  </si>
  <si>
    <t xml:space="preserve">https://www.amazon.in/TOMBIK-Protector-Compatible-Bubble-Free-Protective/dp/B0H4H2ZQM5/ref=sr_1_20</t>
  </si>
  <si>
    <t xml:space="preserve">B0FNCQXYBY</t>
  </si>
  <si>
    <t xml:space="preserve">₹6,999</t>
  </si>
  <si>
    <t xml:space="preserve">https://www.amazon.in/Noise-Integration-Stainless-Emergency-Connectivity/dp/B0FNCQXYBY/ref=sr_1_21</t>
  </si>
  <si>
    <t xml:space="preserve">B0FQV9Q4N6</t>
  </si>
  <si>
    <t xml:space="preserve">https://www.amazon.in/Noise-NoiseFit-Halo-Smartwatch-Black/dp/B0FQV9Q4N6/ref=sr_1_22</t>
  </si>
  <si>
    <t xml:space="preserve">B0GSRN8KLC</t>
  </si>
  <si>
    <t xml:space="preserve">₹6,499</t>
  </si>
  <si>
    <t xml:space="preserve">https://www.amazon.in/Noise-Compatible-Geofencing-Monitoring-Emergency/dp/B0GSRN8KLC/ref=sr_1_20</t>
  </si>
  <si>
    <t xml:space="preserve">B0H4WDTD9X</t>
  </si>
  <si>
    <t xml:space="preserve">₹369</t>
  </si>
  <si>
    <t xml:space="preserve">https://www.amazon.in/ACM-Watch-Strap-compatible-Smartwatch/dp/B0H4WDTD9X/ref=sr_1_21</t>
  </si>
  <si>
    <t xml:space="preserve">B0F2Z2399K</t>
  </si>
  <si>
    <t xml:space="preserve">https://www.amazon.in/dp/B0F2Z2399K</t>
  </si>
  <si>
    <t xml:space="preserve">B0CG1VX5P4</t>
  </si>
  <si>
    <t xml:space="preserve">https://www.amazon.in/dp/B0CG1VX5P4</t>
  </si>
  <si>
    <t xml:space="preserve">B0H83BLZZQ</t>
  </si>
  <si>
    <t xml:space="preserve">₹699</t>
  </si>
  <si>
    <t xml:space="preserve">https://www.amazon.in/YODI-Compatible-Smartwatch-Accessories-STURDY-GREEN/dp/B0H83BLZZQ/ref=sr_1_24</t>
  </si>
  <si>
    <t xml:space="preserve">https://www.amazon.in/Noise-Display-Functional-Premium-Metallic/dp/B0D6GK2871/ref=sr_1_25</t>
  </si>
  <si>
    <t xml:space="preserve">Other: PunnkFunnk</t>
  </si>
  <si>
    <t xml:space="preserve">B0DT952P8J</t>
  </si>
  <si>
    <t xml:space="preserve">PunnkFunnk</t>
  </si>
  <si>
    <t xml:space="preserve">₹949</t>
  </si>
  <si>
    <t xml:space="preserve">https://www.amazon.in/dp/B0DT952P8J</t>
  </si>
  <si>
    <t xml:space="preserve">https://www.amazon.in/Noise-Launched-Endeavour-Display-Calling/dp/B0CG1T39PB/ref=sr_1_28</t>
  </si>
  <si>
    <t xml:space="preserve">B0H7XWTL16</t>
  </si>
  <si>
    <t xml:space="preserve">₹399</t>
  </si>
  <si>
    <t xml:space="preserve">https://www.amazon.in/YODI-Colourful-Compatible-Smartwatch-STARLIGHT/dp/B0H7XWTL16/ref=sr_1_29</t>
  </si>
  <si>
    <t xml:space="preserve">B0DB5YVY2X</t>
  </si>
  <si>
    <t xml:space="preserve">https://www.amazon.in/dp/B0DB5YVY2X</t>
  </si>
  <si>
    <t xml:space="preserve">B0D6YDPS29</t>
  </si>
  <si>
    <t xml:space="preserve">https://www.amazon.in/dp/B0D6YDPS29</t>
  </si>
  <si>
    <t xml:space="preserve">B0B6BPTFT5</t>
  </si>
  <si>
    <t xml:space="preserve">₹1,220</t>
  </si>
  <si>
    <t xml:space="preserve">https://www.amazon.in/Noise-Advanced-Bluetooth-Brightness-Smartwatch/dp/B0B6BPTFT5/ref=sr_1_32</t>
  </si>
  <si>
    <t xml:space="preserve">B0F4RGHCF2</t>
  </si>
  <si>
    <t xml:space="preserve">https://www.amazon.in/Noise-Immersive-Smartwatch-Resistant-Functional/dp/B0F4RGHCF2/ref=sr_1_33</t>
  </si>
  <si>
    <t xml:space="preserve">B0DBZT67WS</t>
  </si>
  <si>
    <t xml:space="preserve">https://www.amazon.in/Noise-Launched-Functional-Stainless-Transition/dp/B0DBZT67WS/ref=sr_1_34</t>
  </si>
  <si>
    <t xml:space="preserve">Other: Saco</t>
  </si>
  <si>
    <t xml:space="preserve">B0HD7YS8P5</t>
  </si>
  <si>
    <t xml:space="preserve">Saco</t>
  </si>
  <si>
    <t xml:space="preserve">https://www.amazon.in/Saco-Anti-Glare-Hydrogel-Screen-Compatible/dp/B0HD7YS8P5/ref=sr_1_35</t>
  </si>
  <si>
    <t xml:space="preserve">B0HD7TBDZ7</t>
  </si>
  <si>
    <t xml:space="preserve">₹279</t>
  </si>
  <si>
    <t xml:space="preserve">https://www.amazon.in/Saco-Hydrogel-Screen-Guard-Compatible/dp/B0HD7TBDZ7/ref=sr_1_36</t>
  </si>
  <si>
    <t xml:space="preserve">B0H7XS1TTJ</t>
  </si>
  <si>
    <t xml:space="preserve">₹278</t>
  </si>
  <si>
    <t xml:space="preserve">https://www.amazon.in/YODI-Magnetic-Buckle-Silicone-Smartwatch/dp/B0H7XS1TTJ/ref=sr_1_37</t>
  </si>
  <si>
    <t xml:space="preserve">B0FWCRMYGT</t>
  </si>
  <si>
    <t xml:space="preserve">https://www.amazon.in/Noise-Smartwatch-Tracking-Temperature-Location/dp/B0FWCRMYGT/ref=sr_1_38</t>
  </si>
  <si>
    <t xml:space="preserve">B0CQHY1S1V</t>
  </si>
  <si>
    <t xml:space="preserve">https://www.amazon.in/Noise-Display-Bluetooth-Assistance-Metallic/dp/B0CQHY1S1V/ref=sr_1_39</t>
  </si>
  <si>
    <t xml:space="preserve">B0H4YXF5TV</t>
  </si>
  <si>
    <t xml:space="preserve">₹579</t>
  </si>
  <si>
    <t xml:space="preserve">https://www.amazon.in/ACM-Watch-Strap-compatible-Smartwatch/dp/B0H4YXF5TV/ref=sr_1_40</t>
  </si>
  <si>
    <t xml:space="preserve">Other: Amazfit</t>
  </si>
  <si>
    <t xml:space="preserve">B0GM29C6PW</t>
  </si>
  <si>
    <t xml:space="preserve">Amazfit</t>
  </si>
  <si>
    <t xml:space="preserve">₹15,999</t>
  </si>
  <si>
    <t xml:space="preserve">https://www.amazon.in/Amazfit-Premium-Smartchoice-Running-Sapphire/dp/B0GM29C6PW/ref=sr_1_41</t>
  </si>
  <si>
    <t xml:space="preserve">wireless earbuds</t>
  </si>
  <si>
    <t xml:space="preserve">B0FZ9YD8MN</t>
  </si>
  <si>
    <t xml:space="preserve">Noise Newly Launch Buds Play Truly Wireless Earbuds with 40H of Playtime, Quad Mic with ENC, Low Latency for Gaming (Up to 50 Ms), 13mm Driver, BT V6.0(Mauve Wine)</t>
  </si>
  <si>
    <t xml:space="preserve">https://www.amazon.in/dp/B0FZ9YD8MN</t>
  </si>
  <si>
    <t xml:space="preserve">Noise Buds N1 Truly Wireless Earbuds with Chrome Finish, 40H of Playtime, Quad Mic with ENC, Ultra Low Latency Gaming (Up to 40 Ms), Instacharge(10 Min=120 Min), Bluetooth V5.3(Ice Blue)</t>
  </si>
  <si>
    <t xml:space="preserve">OnePlus Nord Buds 3r TWS Earbuds up to 54 Hours Playback, 2-mic Clear Calls, 3D Spatial Audio, AI Translation, 12.4mm Drivers, Dual-Device Connectivity, 47ms Low Latency - Ash Black</t>
  </si>
  <si>
    <t xml:space="preserve">https://www.amazon.in/OnePlus-Playback-Translation-Dual-Device-Connectivity/dp/B0FMDL81GS/ref=sr_1_3</t>
  </si>
  <si>
    <t xml:space="preserve">B0G2H4R5YB</t>
  </si>
  <si>
    <t xml:space="preserve">Kratos TW02 Ear Buds Wireless with 60H Playtime, Noise Isolation &amp; Clear Calls, Bluetooth Earbuds with Voice Assistant, Ear Buds with Bluetooth V 5.3 &amp; with Type C Fast Charging, IPX5 TWS Earphones</t>
  </si>
  <si>
    <t xml:space="preserve">https://www.amazon.in/Kratos-TW02-Isolation-Bluetooth-Assistant/dp/B0G2H4R5YB/ref=sr_1_4</t>
  </si>
  <si>
    <t xml:space="preserve">Noise Master Buds, Sound by Bose in-Ear Bluetooth Earbuds, Up to 49dB Adaptive ANC, LHDC 5.0, Immersive Spatial Audio, 44H Playtime with 6 mic ENC, Dual Pairing, IPX5 Ear Buds TWS (Onyx)</t>
  </si>
  <si>
    <t xml:space="preserve">B0GCNML31G</t>
  </si>
  <si>
    <t xml:space="preserve">Noise Buds Mini Truly Wireless Earbuds (2026) | Half in-Ear Design | 40H Playtime | Quad Mic ENC for Clear Calls | 13mm Driver | Low Latency Gaming Mode | BT v5.3 | IPX4 Sweat Resistant - Calm Lilac</t>
  </si>
  <si>
    <t xml:space="preserve">https://www.amazon.in/dp/B0GCNML31G</t>
  </si>
  <si>
    <t xml:space="preserve">Other: Philips</t>
  </si>
  <si>
    <t xml:space="preserve">B0FHKHT717</t>
  </si>
  <si>
    <t xml:space="preserve">Philips TAT1269 Bluetooth Truly Wireless in Ear Earbuds with mic, 13mm Drivers, Bluetooth 5.4, 40H Playtime, IPX5, Fast Charging, Touch Controls, Voice Assistant, Mono Mode, LED Indicator (Deep Black)</t>
  </si>
  <si>
    <t xml:space="preserve">https://www.amazon.in/Philips-Bluetooth-Wireless-Assistant-Indicator/dp/B0FHKHT717/ref=sr_1_7</t>
  </si>
  <si>
    <t xml:space="preserve">Other: HAMMER</t>
  </si>
  <si>
    <t xml:space="preserve">B0FZD7ZJGD</t>
  </si>
  <si>
    <t xml:space="preserve">HAMMER Ultra Pods True Wireless Earbuds with in-Built Mic, 100H Standby Time, 1H Charging USB Type-C, 13mm Dynamic Drivers, 50H Playtime, BT v6.0 Connectivity, IPX5 Water Resistant (Beige)</t>
  </si>
  <si>
    <t xml:space="preserve">https://www.amazon.in/HAMMER-Wireless-Charging-Connectivity-Resistant/dp/B0FZD7ZJGD/ref=sr_1_8</t>
  </si>
  <si>
    <t xml:space="preserve">B0DS2XNXZB</t>
  </si>
  <si>
    <t xml:space="preserve">Noise Buds VS102 Plus Wireless Earbuds, Bluetooth Earbuds with 70H Playtime, Quad Mic ENC for Clear Calls, 11mm Drivers, Deep Bass, Instacharge, Bluetooth v5.3 (Deep Wine)</t>
  </si>
  <si>
    <t xml:space="preserve">https://www.amazon.in/dp/B0DS2XNXZB</t>
  </si>
  <si>
    <t xml:space="preserve">Noise Newly Launched Buds VS601 in Ear Truly Wireless Earbuds with 50H of Playtime, Transparent Case Lid, Quad Mic ENC, Dual Device Pairing, 10Mm Driver, BT V5.3 (Copper Brown)</t>
  </si>
  <si>
    <t xml:space="preserve">https://www.amazon.in/dp/B0FHW7PX1N</t>
  </si>
  <si>
    <t xml:space="preserve">B0DZXX6SKP</t>
  </si>
  <si>
    <t xml:space="preserve">boAt Airdopes Plus 311, Glass Design, ENx Tech, Fast Charge, 50 Hrs Battery, App Support Bluetooth Earbuds, TWS Ear Buds Wireless Earphones with mic (Crimson Red)</t>
  </si>
  <si>
    <t xml:space="preserve">₹799</t>
  </si>
  <si>
    <t xml:space="preserve">https://www.amazon.in/boAt-Airdopes-Plus-311-Bluetooth/dp/B0DZXX6SKP/ref=sr_1_11</t>
  </si>
  <si>
    <t xml:space="preserve">OnePlus Nord Buds 3 Truly Wireless Bluetooth Earbuds with up to 32dB Active Noise Cancellation, 10mins for 11Hours Fast Charging with Up to 43h Music Playback -Harmonic Gray</t>
  </si>
  <si>
    <t xml:space="preserve">https://www.amazon.in/OnePlus-Wireless-Bluetooth-Cancellation-Harmonic/dp/B0DFQ1R3W4/ref=sr_1_12</t>
  </si>
  <si>
    <t xml:space="preserve">Noise Buds N1 Truly Wireless Earbuds with Chrome Finish, 40H of Playtime, Quad Mic with ENC, Ultra Low Latency Gaming (Up to 40 Ms), Instacharge(10 Min=120 Min), Bluetooth V5.3(Calm Beige)</t>
  </si>
  <si>
    <t xml:space="preserve">https://www.amazon.in/Noise-Launched-Wireless-Playtime-Instacharge/dp/B0CQJXC3SP/ref=sr_1_13</t>
  </si>
  <si>
    <t xml:space="preserve">B0DHL63KWK</t>
  </si>
  <si>
    <t xml:space="preserve">JBL Wave Buds 2 Ear Buds Wireless BluetoothV5.3, Active Noise Cancellation Earbuds,Multi Connect, App for Customized Extra Bass Eq, Relax Mode,Speed Charge, 40H Playback, Fast Pair, 4 Mics,IP54(Black)</t>
  </si>
  <si>
    <t xml:space="preserve">https://www.amazon.in/JBL-Wireless-BluetoothV5-3-Cancellation-Customized/dp/B0DHL63KWK/ref=sr_1_14</t>
  </si>
  <si>
    <t xml:space="preserve">B0HCC9J9WV</t>
  </si>
  <si>
    <t xml:space="preserve">VarniEnterprise TWS Bluetooth Earbuds with Calling, Low Latency Gaming, HD Sound, Type-C Fast Charging, Noise Reduction, Wireless Earphones</t>
  </si>
  <si>
    <t xml:space="preserve">https://www.amazon.in/VarniEnterprise-Bluetooth-Charging-Reduction-Earphones/dp/B0HCC9J9WV/ref=sr_1_15</t>
  </si>
  <si>
    <t xml:space="preserve">boAt Airdopes 219, 4Mics ENx, 40H Battery, Best in Segment for Calling, App Support, Bluetooth Earbuds, TWS Ear Buds Wireless Earphones with mic (Carbon Black)</t>
  </si>
  <si>
    <t xml:space="preserve">https://www.amazon.in/boAt-Airdopes-Bluetooth-Wireless-Earphones/dp/B0FC2Y3XGV/ref=sr_1_16</t>
  </si>
  <si>
    <t xml:space="preserve">B0BQN2RMJF</t>
  </si>
  <si>
    <t xml:space="preserve">GOBOULT Z40 True Wireless in Ear Earbuds with 60H Playtime, Zen™ ENC Mic, Low Latency Gaming, Type-C Fast Charging, Made in India, 10mm Rich Bass Drivers, IPX5, Ear Buds TWS (Blue)</t>
  </si>
  <si>
    <t xml:space="preserve">https://www.amazon.in/Boult-Audio-Wireless-Playtime-Bluetooth/dp/B0BQN2RMJF/ref=sr_1_17</t>
  </si>
  <si>
    <t xml:space="preserve">B0C3ZYFZ77</t>
  </si>
  <si>
    <t xml:space="preserve">boAt Airdopes Joy, 35Hrs Battery, Fast Charge, IWP Tech, Low Latency, 2Mic ENx, Type-C Port, v5.3 Bluetooth Earbuds, TWS Ear Buds Wireless Earphones with mic(Jet Black)</t>
  </si>
  <si>
    <t xml:space="preserve">https://www.amazon.in/boAt-Airdopes-Alpha-Wireless-Earbuds/dp/B0C3ZYFZ77/ref=sr_1_18</t>
  </si>
  <si>
    <t xml:space="preserve">B0FTFMNYBV</t>
  </si>
  <si>
    <t xml:space="preserve">Mivi DuoPods Marathon Earbuds Wireless | Fast Charge | 70H Playtime | BT v5.3 | 13mm Drivers | Noise Cancellation | IPX4.0 TWS</t>
  </si>
  <si>
    <t xml:space="preserve">https://www.amazon.in/Mivi-Marathon-Playtime-Wireless-Bluetooth/dp/B0FTFMNYBV/ref=sr_1_19</t>
  </si>
  <si>
    <t xml:space="preserve">B0GZMYZW7R</t>
  </si>
  <si>
    <t xml:space="preserve">boAt 2026 Launch Airdopes Prime 800D, Surround Sound by Dolby Audio, 45H Battery, Quad Mic AI-ENx™, 11mm Drivers, ASAP™ Charge,App Support Wireless Bluetooth TWS Earbuds with mic(Black Raven)</t>
  </si>
  <si>
    <t xml:space="preserve">https://www.amazon.in/boAt-Airdopes-Surround-AI-ENxTM-Bluetooth/dp/B0GZMYZW7R/ref=sr_1_21</t>
  </si>
  <si>
    <t xml:space="preserve">B0BW8RVQ3V</t>
  </si>
  <si>
    <t xml:space="preserve">boAt Nirvana Ion, 120HRS Battery, Crystal Bionic Sound w/Dual EQ Modes, 4Mics ENx, App Support, Low Latency, IPX4, v.5.2 Bluetooth Earbuds, TWS Ear Buds Wireless Earphones with mic (Ivory White)</t>
  </si>
  <si>
    <t xml:space="preserve">https://www.amazon.in/boAt-Nirvana-Playback-Technology-Detection/dp/B0BW8RVQ3V/ref=sr_1_22</t>
  </si>
  <si>
    <t xml:space="preserve">B0CQJWQWD9</t>
  </si>
  <si>
    <t xml:space="preserve">Noise Buds N1 Truly Wireless Earbuds with Chrome Finish, 40H of Playtime, Quad Mic with ENC, Ultra Low Latency Gaming (Up to 40 Ms), Instacharge(10 Min=120 Min), Bluetooth V5.3(Forest Green)</t>
  </si>
  <si>
    <t xml:space="preserve">https://www.amazon.in/dp/B0CQJWQWD9</t>
  </si>
  <si>
    <t xml:space="preserve">B0GCNK81FR</t>
  </si>
  <si>
    <t xml:space="preserve">Noise Buds Mini Truly Wireless Earbuds (2026) | Half In-Ear Design | 40H Playtime | Quad Mic ENC for Clear Calls | 13mm Driver | Low Latency Gaming Mode | BT v5.3 | IPX4 Sweat Resistant - Carbon Green</t>
  </si>
  <si>
    <t xml:space="preserve">https://www.amazon.in/dp/B0GCNK81FR</t>
  </si>
  <si>
    <t xml:space="preserve">Other: Portronics</t>
  </si>
  <si>
    <t xml:space="preserve">B0CV5L6Y8Y</t>
  </si>
  <si>
    <t xml:space="preserve">Portronics Harmonics Twins S13 in Ear True Wireless Earbuds with Mic, 24H Playtime, Game/Music Mode, Touch Control, 8mm Driver, Bluetooth 5.3v,IPX5 Water Resistance, Type C Fast Charging(Black)</t>
  </si>
  <si>
    <t xml:space="preserve">₹569</t>
  </si>
  <si>
    <t xml:space="preserve">https://www.amazon.in/Portronics-Harmonics-Wireless-Bluetooth-Resistance/dp/B0CV5L6Y8Y/ref=sr_1_20</t>
  </si>
  <si>
    <t xml:space="preserve">B0FL2SJTB2</t>
  </si>
  <si>
    <t xml:space="preserve">boAt Airdopes 213, 50H Battery, ENx Tech, Beast Mode, ASAP Charge, Bluetooth Earbuds, TWS Ear Buds Wireless Earphones with mic (Shadow Black)</t>
  </si>
  <si>
    <t xml:space="preserve">https://www.amazon.in/Airdopes-Battery-Bluetooth-Wireless-Earphones/dp/B0FL2SJTB2/ref=sr_1_21</t>
  </si>
  <si>
    <t xml:space="preserve">Noise Buds Verve 2 in-Ear Truly Wireless Earbuds with Chrome Finish, 50H of Playtime, Quad Mic with ENC, 13mm Driver, Instacharge(10 min=200 min), BT v5.3(Stone Beige)</t>
  </si>
  <si>
    <t xml:space="preserve">https://www.amazon.in/dp/B0CYPYZF64</t>
  </si>
  <si>
    <t xml:space="preserve">Other: pTron</t>
  </si>
  <si>
    <t xml:space="preserve">B0D78XSMSM</t>
  </si>
  <si>
    <t xml:space="preserve">pTron Bassbuds Astra in-Ear TWS Earbuds w/Stereo Sound, 34Hrs Playtime, Stereo Calls, Custom EQ, Mobile App, BTv5.3 Headphones, Touch Control, Voice Assistant, Type C Charging &amp; IPX4 (Black)</t>
  </si>
  <si>
    <t xml:space="preserve">https://www.amazon.in/pTron-Bassbuds-Bluetooth-Headphones-Assistant/dp/B0D78XSMSM/ref=sr_1_24</t>
  </si>
  <si>
    <t xml:space="preserve">B0FPLP7SMZ</t>
  </si>
  <si>
    <t xml:space="preserve">boAt Airdopes 131 Gen 2, 13mm Drivers, 70H Battery, ENx Tech, Beast Mode 45 ms Low Latency, ASAP Charge, Bluetooth Earbuds, TWS Ear Buds Wireless Earphones with mic (Carbon Black)</t>
  </si>
  <si>
    <t xml:space="preserve">https://www.amazon.in/Airdopes-Drivers-Bluetooth-Wireless-Earphones/dp/B0FPLP7SMZ/ref=sr_1_25</t>
  </si>
  <si>
    <t xml:space="preserve">B0GHQD8KP2</t>
  </si>
  <si>
    <t xml:space="preserve">Fire-BolttAero Shadow TWS Earbuds Custom EQ, RGB Lights, Wireless Bluetooth 5.4, Music &amp; App Support, 50H Playtime, Fast Charging Case, 50ms Low Latency for Gaming, Touch Controls - Flame Red</t>
  </si>
  <si>
    <t xml:space="preserve">₹874</t>
  </si>
  <si>
    <t xml:space="preserve">https://www.amazon.in/dp/B0GHQD8KP2</t>
  </si>
  <si>
    <t xml:space="preserve">Noise Newly Launched Buds E1 V2 in-Ear Truly Wireless Earbuds with Pebble Grain Design, 35H of Playtime, Quad mic ENC,10mm Driver, Low Latency, BT v5.3 (Dune Beige)</t>
  </si>
  <si>
    <t xml:space="preserve">https://www.amazon.in/dp/B0GSZV3415</t>
  </si>
  <si>
    <t xml:space="preserve">B0DBGNY4XP</t>
  </si>
  <si>
    <t xml:space="preserve">realme Buds T310 True Wireless in-Ear Earbuds with 46dB Hybrid ANC, 360° Spatial Audio, 12.4mm Dynamic Bass Driver, Upto 40Hrs Battery and Fast Charging (Monet Purple)</t>
  </si>
  <si>
    <t xml:space="preserve">https://www.amazon.in/realme-Wireless-Earbuds-Spatial-Charging/dp/B0DBGNY4XP/ref=sr_1_28</t>
  </si>
  <si>
    <t xml:space="preserve">B0GCN923RQ</t>
  </si>
  <si>
    <t xml:space="preserve">Kratos Pop Ear Buds Wireless with 60H Playtime, Noise Isolation &amp; Clear Calls, Bluetooth Earbuds with Voice Assistant, Ear Buds with Bluetooth V 5.3 &amp; with Type C Fast Charging, IPX4 TWS Earphones</t>
  </si>
  <si>
    <t xml:space="preserve">₹529</t>
  </si>
  <si>
    <t xml:space="preserve">https://www.amazon.in/Kratos-Isolation-Bluetooth-Assistant-Earphones/dp/B0GCN923RQ/ref=sr_1_29</t>
  </si>
  <si>
    <t xml:space="preserve">B0CFYJ8HRS</t>
  </si>
  <si>
    <t xml:space="preserve">Noise Pure Pods Wireless Open Ear Earbuds with AirWave™ Technology,Up-to 80H Playtime,Quad Mic with ENC,16mm Neodymium Dynamic Driver,Detachable Pure Band,BTv5.3 (Power Black)</t>
  </si>
  <si>
    <t xml:space="preserve">https://www.amazon.in/dp/B0CFYJ8HRS</t>
  </si>
  <si>
    <t xml:space="preserve">B0F8BVSK21</t>
  </si>
  <si>
    <t xml:space="preserve">boAt Airdopes 141 Gen 2, 4 Mics ENx Tech, 48 Hrs Playback, Fast Charge, Low Latency, IPX4, v5.4 Bluetooth Earbuds, TWS Ear Buds Wireless Earphones with mic (Active Black)</t>
  </si>
  <si>
    <t xml:space="preserve">https://www.amazon.in/boAt-Airdopes-141-Streaming-Bluetooth/dp/B0F8BVSK21/ref=sr_1_32</t>
  </si>
  <si>
    <t xml:space="preserve">B0G2GGLTMF</t>
  </si>
  <si>
    <t xml:space="preserve">Mivi DuoPods Sync in Ear Earbuds | 60H Playtime Bluetooth Earphones Wireless | Earbuds ENC for Clear Calls | 13mm Drivers Ear Buds Wireless | Gaming Mode | BT 5.3 TWS ENC Earbuds Style | Earpods</t>
  </si>
  <si>
    <t xml:space="preserve">https://www.amazon.in/Mivi-Playtime-Bluetooth-Earphones-Wireless/dp/B0G2GGLTMF/ref=sr_1_33</t>
  </si>
  <si>
    <t xml:space="preserve">B0GCSKS7QG</t>
  </si>
  <si>
    <t xml:space="preserve">https://www.amazon.in/Kratos-Isolation-Bluetooth-Assistant-Earphones/dp/B0GCSKS7QG/ref=sr_1_34</t>
  </si>
  <si>
    <t xml:space="preserve">B0GDQ7Y8Q5</t>
  </si>
  <si>
    <t xml:space="preserve">realme Buds Air 8,11mm+6mm Dual Dynamic Bass Drivers,58 Hrs Playtime, 55dB ANC,6 Mic ENC, 45ms Low Latency, 360° Spatial Audio, Hi-Res LHDC, IP55 Dust &amp; Water Resistant, BT v5.4 (Master Purple)</t>
  </si>
  <si>
    <t xml:space="preserve">https://www.amazon.in/realme-Dynamic-Drivers-Playtime-Resistant/dp/B0GDQ7Y8Q5/ref=sr_1_35</t>
  </si>
  <si>
    <t xml:space="preserve">B0FDGSYR17</t>
  </si>
  <si>
    <t xml:space="preserve">Samsung Galaxy Buds Core (White) Galaxy AI Enabled in-Ear TWS with ANC | Enriched Bass | 6 Mic Setup | IP54 | 35hrs Battery | Touch Controls</t>
  </si>
  <si>
    <t xml:space="preserve">https://www.amazon.in/Samsung-Enabled-Enriched-Battery-Controls/dp/B0FDGSYR17/ref=sr_1_36</t>
  </si>
  <si>
    <t xml:space="preserve">B0FZ9SWB7S</t>
  </si>
  <si>
    <t xml:space="preserve">Noise Newly Launch Buds Play Truly Wireless Earbuds with 40H of Playtime, Quad Mic with ENC, Low Latency for Gaming (Up to 50 Ms), 13mm Driver, BT V6.0(Powder Blue)</t>
  </si>
  <si>
    <t xml:space="preserve">https://www.amazon.in/Noise-Wireless-Earbuds-Playtime-Latency/dp/B0FZ9SWB7S/ref=sr_1_37</t>
  </si>
  <si>
    <t xml:space="preserve">B0DS2TTRQC</t>
  </si>
  <si>
    <t xml:space="preserve">Noise Buds Trance in-Ear Truly Wireless Earbuds with 45H of Playtime, Voice Control, Low Latency(up to 40 ms), Instacharge(10 min=200 min), BT v5.3(True Purple)</t>
  </si>
  <si>
    <t xml:space="preserve">https://www.amazon.in/Noise-Wireless-Earbuds-Playtime-Instacharge/dp/B0DS2TTRQC/ref=sr_1_38</t>
  </si>
  <si>
    <t xml:space="preserve">B0C33XXS56</t>
  </si>
  <si>
    <t xml:space="preserve">Sony WF-1000XM5 Best Active Noise Cancelling Wireless Bluetooth Earbuds with Mic, TWS, Up to 24 Hours Battery Life - Black</t>
  </si>
  <si>
    <t xml:space="preserve">₹16,999</t>
  </si>
  <si>
    <t xml:space="preserve">https://www.amazon.in/Sony-WF-1000XM5-Cancelling-Headphones-Multi-Point/dp/B0C33XXS56/ref=sr_1_39</t>
  </si>
  <si>
    <t xml:space="preserve">B0D3LBFX1W</t>
  </si>
  <si>
    <t xml:space="preserve">boAt Airdopes 300, Cinematic Spatial Audio, 50HRS Battery, 4Mic AI ENx, Fast Charge, App Support, Low Latency, IPX4, v5.3 Bluetooth Earbuds, TWS Ear Buds Wireless Earphones with mic (Purple Haze)</t>
  </si>
  <si>
    <t xml:space="preserve">https://www.amazon.in/boAt-Airdopes-300-Multipoint-Connection/dp/B0D3LBFX1W/ref=sr_1_40</t>
  </si>
  <si>
    <t xml:space="preserve">boAt 2026 Launch Airdopes ProClip, Air Conduction Tech,Feather-Light Earbuds, Clip-On Design,All Day Wear Comfort,52H Battery,12mm Dynamic Drivers,App Support,BT v6.0,OWS Earbuds with mic(Silk Grey)</t>
  </si>
  <si>
    <t xml:space="preserve">https://www.amazon.in/boAt-Airdopes-ProClip-Conduction-Feather-Light/dp/B0GZN7C6X8/ref=sr_1_41</t>
  </si>
  <si>
    <t xml:space="preserve">earbuds with anc</t>
  </si>
  <si>
    <t xml:space="preserve">Noise Buds N2 Pro Truly Wireless Earbuds with ANC (Up to 32dB), 70H Playtime, Dual Pairing, InstaCharge (10 Min = 200 Min), Bluetooth v6.0, Metallic Finish – Slate Black</t>
  </si>
  <si>
    <t xml:space="preserve">B0CQJWMMG7</t>
  </si>
  <si>
    <t xml:space="preserve">Noise Buds N1 Truly Wireless Earbuds with Chrome Finish, 40H of Playtime, Quad Mic with ENC, Ultra Low Latency Gaming (Up to 40 Ms), Instacharge(10 Min=120 Min), Bluetooth V5.3(Carbon Black)</t>
  </si>
  <si>
    <t xml:space="preserve">https://www.amazon.in/dp/B0CQJWMMG7</t>
  </si>
  <si>
    <t xml:space="preserve">realme Buds T200x True Wireless Earbuds with 12.4mm Dynamic Bass Drivers, 25 dB ANC, Quad Mic, 45ms Latency, Upto 48 Hrs Playback, Fast Charge, IP55 Rated, BT 5.4 (Pure Black)</t>
  </si>
  <si>
    <t xml:space="preserve">https://www.amazon.in/realme-Wireless-Earbuds-Dynamic-Playback/dp/B0FBR6HGXM/ref=sr_1_4</t>
  </si>
  <si>
    <t xml:space="preserve">Noise Buds Vector Truly Wireless Earbuds with Hi-Res Audio &amp; LDAC, Best Bass &amp; Call Clarity, 40H Playtime, Quad Mic ENC, Instacharge (10 Min = 120 Min), Bluetooth v5.3 – Midnight Blue</t>
  </si>
  <si>
    <t xml:space="preserve">https://www.amazon.in/dp/B0FTZD16TR</t>
  </si>
  <si>
    <t xml:space="preserve">Noise Buds N1 Pro Truly Wireless Earbuds with Metallic Finish, ANC(Upto 30Db), 60H of Playtime, Dual Pairing, Instacharge(10 Min=200 Min), BT V5.3(Chrome Black)</t>
  </si>
  <si>
    <t xml:space="preserve">B0FQC3DVWB</t>
  </si>
  <si>
    <t xml:space="preserve">HAMMER Aura ANC Earbuds Wireless, 32dB ANC Ear Buds with ENC, Low Latency Gaming Earbuds with 35ms Mode, 50H Playtime, 13mm Titanium Driver, Transparency Mode, IPX4, Bluetooth 6.0, Beige</t>
  </si>
  <si>
    <t xml:space="preserve">₹809</t>
  </si>
  <si>
    <t xml:space="preserve">https://www.amazon.in/HAMMER-Wireless-Transparency-Titanium-Semi-Transparent/dp/B0FQC3DVWB/ref=sr_1_7</t>
  </si>
  <si>
    <t xml:space="preserve">realme Buds T310 True Wireless in-Ear Earbuds with 46dB Hybrid ANC, 360° Spatial Audio, 12.4mm Dynamic Bass Driver, Upto 40Hrs Battery and Fast Charging (Vibrant Black)</t>
  </si>
  <si>
    <t xml:space="preserve">https://www.amazon.in/realme-Wireless-Earbuds-Spatial-Charging/dp/B0DBGP48NW/ref=sr_1_8</t>
  </si>
  <si>
    <t xml:space="preserve">GOBOULT Newly Launched Tenet Pro with ANC TWS Earbuds, 75H Playtime, Amp App Support, 32dB ANC, Quad Mic ENC, Dual Device Pairing, 13mm Driver Ear Buds, Bluetooth 6.0 Wireless Earbuds (Forest White)</t>
  </si>
  <si>
    <t xml:space="preserve">Noise Newly Launched Buds X2 in Ear Truly Wireless Earbuds with Massive 140H of Playtime, ANC (up to 32dB), Rubberised Finish, Dual Device Pairing, Dual EQ Modes, BT v5.3 (Tide Blue)</t>
  </si>
  <si>
    <t xml:space="preserve">https://www.amazon.in/dp/B0DNZPWVM7</t>
  </si>
  <si>
    <t xml:space="preserve">boAt Airdopes 141 Elite ANC, ANC(~35dB), 4Mics ENx Tech, 42H Battery, Fast Charge,Stream Ad Free Music via App Support, IPX5, Bluetooth Earbuds, TWS Ear Buds Wireless Earphones with mic (White)</t>
  </si>
  <si>
    <t xml:space="preserve">https://www.amazon.in/boAt-Airdopes-Bluetooth-Wireless-Earphones/dp/B0F5BDJG4C/ref=sr_1_11</t>
  </si>
  <si>
    <t xml:space="preserve">boAt Nirvana Ion ANC, Active Noise Cancellation(~32dB), 120Hrs Battery, App Support, Crystal Bionic Sound, 4Mics ENx, v5.3 Bluetooth Earbuds, TWS Ear Buds Wireless Earphones with mic (Quartz White)</t>
  </si>
  <si>
    <t xml:space="preserve">https://www.amazon.in/boAt-Nirvana-Ion-ANC-Cancellation/dp/B0CF5QFH77/ref=sr_1_12</t>
  </si>
  <si>
    <t xml:space="preserve">GOBOULT Newly Launched Tenet Pro with ANC TWS Earbuds, 75H Playtime, Amp App Support, 32dB ANC, Quad Mic ENC, Dual Device Pairing, 13mm Driver Ear Buds, Bluetooth 6.0 Wireless Earbuds (Crimson Red)</t>
  </si>
  <si>
    <t xml:space="preserve">https://www.amazon.in/GOBOULT-Launched-Playtime-Bluetooth-Wireless/dp/B0H6B3HXXG/ref=sr_1_13</t>
  </si>
  <si>
    <t xml:space="preserve">OnePlus Nord Buds 3 Pro Truly Wireless Bluetooth Earbuds with Upto 49dB Active Noise Cancellation,12.4mm Dynamic Drivers,10mins for 11Hrs Fast Charging with Upto 44Hrs Music Playback [Starry Black]</t>
  </si>
  <si>
    <t xml:space="preserve">https://www.amazon.in/OnePlus-Wireless-Bluetooth-Cancellation-Charging/dp/B0D7HZ3KK9/ref=sr_1_14</t>
  </si>
  <si>
    <t xml:space="preserve">B0HDVXNBX8</t>
  </si>
  <si>
    <t xml:space="preserve">TWS Bluetooth 5.4 Earbuds with ANC Black | ENC Noise Reduction, IPX4 Water Resistant, Gaming Mode, Dual Mic Clear Calls, Type-C Charging</t>
  </si>
  <si>
    <t xml:space="preserve">₹299</t>
  </si>
  <si>
    <t xml:space="preserve">https://www.amazon.in/JensiKidz-TWS-Bluetooth-Earbuds-Black/dp/B0HDVXNBX8/ref=sr_1_15</t>
  </si>
  <si>
    <t xml:space="preserve">B0FN7L9JQ1</t>
  </si>
  <si>
    <t xml:space="preserve">Noise Buds N2 Pro Truly Wireless Earbuds with ANC (Up to 32dB), 70H Playtime, Dual Pairing, InstaCharge (10 Min = 200 Min), Bluetooth v6.0, Metallic Finish – Lunar Silver</t>
  </si>
  <si>
    <t xml:space="preserve">https://www.amazon.in/Noise-Launched-Wireless-Metallic-Instacharge/dp/B0FN7L9JQ1/ref=sr_1_17</t>
  </si>
  <si>
    <t xml:space="preserve">GOBOULT Z40 Pro v2.0 in Ear Earbuds with ANC, 100H Playtime, Amp App Support, Active Noise Cancellation, Quad Mic ENC, Dual Device Pairing, 13mm Driver, Bluetooth 5.4 Wireless (Cloud Blue)</t>
  </si>
  <si>
    <t xml:space="preserve">https://www.amazon.in/GOBOULT-Playtime-Cancellation-Bluetooth-Wireless/dp/B0GRV6L413/ref=sr_1_18</t>
  </si>
  <si>
    <t xml:space="preserve">B0F5GV3Y87</t>
  </si>
  <si>
    <t xml:space="preserve">realme Earbuds Air 7 True Wireless,12.4mm Dynamic Bass Drivers,52Hrs Playtime,52dB Hybrid ANC,6 Mic ENC,45ms Low Latency,360° Spatial Audio,Hi-Res LHDC,IP55 Dust &amp; Water Resistant,BT v5.4(SlateGrey)</t>
  </si>
  <si>
    <t xml:space="preserve">₹3,137.74</t>
  </si>
  <si>
    <t xml:space="preserve">https://www.amazon.in/realme-Wireless-Playtime-Resistant-SlateGrey/dp/B0F5GV3Y87/ref=sr_1_19</t>
  </si>
  <si>
    <t xml:space="preserve">Samsung Galaxy Buds Core (Black) Galaxy AI Enabled in-Ear TWS with ANC | Enriched Bass | 6 Mic Setup | IP54 | 35hrs Battery | Touch Controls</t>
  </si>
  <si>
    <t xml:space="preserve">https://www.amazon.in/Samsung-Enabled-Enriched-Battery-Controls/dp/B0FDGVNSLH/ref=sr_1_20</t>
  </si>
  <si>
    <t xml:space="preserve">B0FCMPJQ1J</t>
  </si>
  <si>
    <t xml:space="preserve">OnePlus Buds 4 TWS Earbuds with Upto 55dB Real-time ANC, Adaptive Mode, Dual Drivers and DACs, 3D Audio, Upto 45hrs Music Playback, Dual-Device connectivity, 47ms Low Latency, Storm Gray (E513A)</t>
  </si>
  <si>
    <t xml:space="preserve">₹6,099</t>
  </si>
  <si>
    <t xml:space="preserve">https://www.amazon.in/OnePlus-Real-time-Adaptive-Dual-Device-connectivity/dp/B0FCMPJQ1J/ref=sr_1_21</t>
  </si>
  <si>
    <t xml:space="preserve">boAt Airdopes Prime 701 ANC, 46dB Hybrid ANC, 50Hr Battery, Real Spatial Audio,Multidevice Connect,App Support, Bluetooth Earbuds, TWS Ear Buds Wireless Earphones with mic (Zinc White)</t>
  </si>
  <si>
    <t xml:space="preserve">https://www.amazon.in/boAt-Airdopes-Multidevice-Bluetooth-Earphones/dp/B0F8BWZSFD/ref=sr_1_22</t>
  </si>
  <si>
    <t xml:space="preserve">Noise Newly Launched Buds X2 in Ear Truly Wireless Earbuds with Massive 140H of Playtime, ANC (up to 32dB), Rubberised Finish, Dual Device Pairing, Dual EQ Modes, BT v5.3 (Ebony Black)</t>
  </si>
  <si>
    <t xml:space="preserve">https://www.amazon.in/dp/B0DNZTC6K7</t>
  </si>
  <si>
    <t xml:space="preserve">Other: JLab</t>
  </si>
  <si>
    <t xml:space="preserve">B0DD2VL3MX</t>
  </si>
  <si>
    <t xml:space="preserve">JLab Go Pop ANC Earbuds - Bluetooth, Black | Bluetooth Earphones, 24+ Hr Wireless Headphones, IP55 Sweat-Resistant in Ear Buds with Microphone, Clear Calls &amp; Multipoint</t>
  </si>
  <si>
    <t xml:space="preserve">https://www.amazon.in/dp/B0DD2VL3MX</t>
  </si>
  <si>
    <t xml:space="preserve">B0H69QVCGL</t>
  </si>
  <si>
    <t xml:space="preserve">GOBOULT Newly Launched Tenet Pro with ANC TWS Earbuds, 75H Playtime, Amp App Support, 32dB ANC, Quad Mic ENC, Dual Device Pairing, 13mm Driver Ear Buds, Bluetooth 6.0 Wireless Earbuds (Olive Green)</t>
  </si>
  <si>
    <t xml:space="preserve">https://www.amazon.in/GOBOULT-Launched-Playtime-Bluetooth-Wireless/dp/B0H69QVCGL/ref=sr_1_20</t>
  </si>
  <si>
    <t xml:space="preserve">Other: PHILIPS</t>
  </si>
  <si>
    <t xml:space="preserve">B0DXL76777</t>
  </si>
  <si>
    <t xml:space="preserve">PHILIPS TAT1150BK/94 Premium Wireless Earbuds with ANC, Quad Mic ENC, Up to 55 Hr Playtime,13mm Neodymium Drivers,Multipoint, ergonomically Designed,IPX5 Water Resistance,Fast Charging (Deep Black)</t>
  </si>
  <si>
    <t xml:space="preserve">https://www.amazon.in/PHILIPS-TAT1150BK-94-Multipoint-ergonomically/dp/B0DXL76777/ref=sr_1_21</t>
  </si>
  <si>
    <t xml:space="preserve">B0GDQ28DY5</t>
  </si>
  <si>
    <t xml:space="preserve">realme Buds Air 8,11mm+6mm Dual Dynamic Bass Drivers,58Hrs Playtime, 55dB ANC,6 Mic ENC, 45ms Low Latency, 360° Spatial Audio, Hi-Res LHDC, IP55 Dust &amp; Water Resistant, BT V5.4 (Master Grey)</t>
  </si>
  <si>
    <t xml:space="preserve">https://www.amazon.in/realme-Dynamic-Drivers-Playtime-Resistant/dp/B0GDQ28DY5/ref=sr_1_24</t>
  </si>
  <si>
    <t xml:space="preserve">OnePlus Nord Buds 4 Pro E518A Raven Black in</t>
  </si>
  <si>
    <t xml:space="preserve">https://www.amazon.in/OnePlus-Nord-E518A-Raven-Black/dp/B0GQTSHLLR/ref=sr_1_25</t>
  </si>
  <si>
    <t xml:space="preserve">https://www.amazon.in/JBL-Wireless-BluetoothV5-3-Cancellation-Customized/dp/B0DHL63KWK/ref=sr_1_28</t>
  </si>
  <si>
    <t xml:space="preserve">B0GRV5S7DW</t>
  </si>
  <si>
    <t xml:space="preserve">GOBOULT Z40 Pro v2.0 in Ear Earbuds with ANC, 100H Playtime, Amp App Support, Active Noise Cancellation, Quad Mic ENC, Dual Device Pairing, 13mm Driver, Bluetooth 5.4 Wireless (Indigo Rust)</t>
  </si>
  <si>
    <t xml:space="preserve">https://www.amazon.in/GOBOULT-Playtime-Cancellation-Bluetooth-Wireless/dp/B0GRV5S7DW/ref=sr_1_29</t>
  </si>
  <si>
    <t xml:space="preserve">B0FKTN7TR8</t>
  </si>
  <si>
    <t xml:space="preserve">realme Buds T200 True Wireless Earbuds with Hi-Res Audio, 12.4mm Dynamic Bass Drivers, 32 dB ANC, Quad Mic, 45ms Latency, Upto 50 Hrs Playback, Fast Charge, IP55 Rated, BT 5.4 (Dreamy Purple)</t>
  </si>
  <si>
    <t xml:space="preserve">https://www.amazon.in/dp/B0FKTN7TR8</t>
  </si>
  <si>
    <t xml:space="preserve">B0F9L6VF7G</t>
  </si>
  <si>
    <t xml:space="preserve">GOBOULT Klarity 4 ANC in-Ear Truly Wireless Earbuds 35dB Active Noise Cancellation, 60H Playtime, 4Mics Calling, 45ms Low Latency, 10mm Driver, Type-C Fast Charging(Electric White) (Jet Black)</t>
  </si>
  <si>
    <t xml:space="preserve">https://www.amazon.in/GOBOULT-Wireless-Earbuds-Cancellation-Playtime/dp/B0F9L6VF7G/ref=sr_1_32</t>
  </si>
  <si>
    <t xml:space="preserve">boAt Nirvana Ivy, 50dB Hybrid ANC, 360º Spatial Audio, Dynamic Head Tracking,Fast Charge,App Support, v5.3 Bluetooth Earbuds, TWS Ear Buds Wireless Earphones with mic (Quartz Cyan)</t>
  </si>
  <si>
    <t xml:space="preserve">https://www.amazon.in/boAt-Tracking-Bluetooth-Wireless-Earphones/dp/B0DBHBZZTN/ref=sr_1_33</t>
  </si>
  <si>
    <t xml:space="preserve">B0GJ5Z3XKS</t>
  </si>
  <si>
    <t xml:space="preserve">GOBOULT Earl TWS Earbuds with Hybrid ANC (Upto 50dB), 10mm Dual Drivers, Upto 50H Playtime in Ear Earbuds, App Support, Spatial Audio, IPX5, Dual Device Pairing, TWS (Ivory White)</t>
  </si>
  <si>
    <t xml:space="preserve">https://www.amazon.in/GOBOULT-Earbuds-Drivers-Playtime-Support/dp/B0GJ5Z3XKS/ref=sr_1_34</t>
  </si>
  <si>
    <t xml:space="preserve">B0DHL93XCN</t>
  </si>
  <si>
    <t xml:space="preserve">JBL Wave Beam 2 Ear Buds Wireless BluetoothV5.3, Active Noise Cancellation Earbuds,Multi Connect, App for Customized Extra Bass Eq, Relax Mode,Speed Charge, 40H Playback, Fast Pair,4 Mics,IP54(Black)</t>
  </si>
  <si>
    <t xml:space="preserve">https://www.amazon.in/JBL-Wireless-BluetoothV5-3-Cancellation-Customized/dp/B0DHL93XCN/ref=sr_1_35</t>
  </si>
  <si>
    <t xml:space="preserve">boAt Airdopes Prime 513 ANC, ~32dB Active Noise Cancellation, 65H Battery, Multipoint Connectivity, 4Mics ENx, Bluetooth Earbuds, TWS Ear Buds Wireless Earphones with mic (Ivory Glow)</t>
  </si>
  <si>
    <t xml:space="preserve">https://www.amazon.in/boAt-Cancellation-Multipoint-Connectivity-Bluetooth/dp/B0FB3J8M6J/ref=sr_1_36</t>
  </si>
  <si>
    <t xml:space="preserve">Noise ALT Buds, 35dB ANC, Spatial Audio, 45Hrs Playtime, App Support, Ai Powered, Instacharge, Dual Pairing, BTv6.0 (Chosen Taupe (Metallic))</t>
  </si>
  <si>
    <t xml:space="preserve">https://www.amazon.in/Noise-Spatial-Playtime-Instacharge-Metallic/dp/B0GWD513TF/ref=sr_1_37</t>
  </si>
  <si>
    <t xml:space="preserve">Other: JBL</t>
  </si>
  <si>
    <t xml:space="preserve">B0DK3RXTW4</t>
  </si>
  <si>
    <t xml:space="preserve">JBL Tune Buds 2 TWS, ANC Earbuds, 48Hr Playtime,Dual Connect,6 Mics, Spatial Sound, Personi-Fi 3.0, Ambient Aware, Relax Mode, Customized EQ with Headphones App (Black)</t>
  </si>
  <si>
    <t xml:space="preserve">https://www.amazon.in/JBL-Playtime-Customized-Headphones-Personi-Fi/dp/B0DK3RXTW4/ref=sr_1_38</t>
  </si>
  <si>
    <t xml:space="preserve">CrossBeats Hertz ANC TWS Ear Buds, Wireless in‑Ear Earphones, Sleep Buds v5.4 Bluetooth 10 mm Drivers Up to 60H Playtime, with AI Noise Cancellation,40 ms Low Latency, &amp; AI ENC Earbuds Buds (Black)</t>
  </si>
  <si>
    <t xml:space="preserve">https://www.amazon.in/CrossBeats-Hertz-Earphones-Bluetooth-Cancellation/dp/B0G6D8R6XM/ref=sr_1_39</t>
  </si>
  <si>
    <t xml:space="preserve">Other: iQOO</t>
  </si>
  <si>
    <t xml:space="preserve">B07WDKJKSP</t>
  </si>
  <si>
    <t xml:space="preserve">iQOO TWS 1e Earbuds, Intelligent ANC 30dB, Upto 42H Playback time, Fast Charging (10 mins = 3 Hours), Dual Pairing, DeepX 3.0 Stereo, True Wireless (Flame Yellow)</t>
  </si>
  <si>
    <t xml:space="preserve">https://www.amazon.in/iQOO-Cancellation-Charging-Playtime-Playback/dp/B07WDKJKSP/ref=sr_1_40</t>
  </si>
  <si>
    <t xml:space="preserve">https://www.amazon.in/Mivi-Marathon-Playtime-Wireless-Bluetooth/dp/B0FTFMNYBV/ref=sr_1_41</t>
  </si>
  <si>
    <t xml:space="preserve">bluetooth earbuds under 2000</t>
  </si>
  <si>
    <t xml:space="preserve">Noise Newly Launched Buds Connect 3 Truly Wireless Earbuds with 40H of Playtime, Quad Mic with ENC, Low Latency, 10mm Driver, BT V5.4(Slate Black)</t>
  </si>
  <si>
    <t xml:space="preserve">https://www.amazon.in/dp/B0FZ9YLWP1</t>
  </si>
  <si>
    <t xml:space="preserve">https://www.amazon.in/Philips-Bluetooth-Wireless-Assistant-Indicator/dp/B0FHKHT717/ref=sr_1_4</t>
  </si>
  <si>
    <t xml:space="preserve">boAt Nirvana Ion, 120HRS Battery, Crystal Bionic Sound w/Dual EQ Modes, 4Mics ENx, App Support, Low Latency, IPX4, v.5.2 Bluetooth Earbuds, TWS Ear Buds Wireless Earphones with mic (Charcoal Black)</t>
  </si>
  <si>
    <t xml:space="preserve">https://www.amazon.in/boAt-Nirvana-Technology-Detection-Bluetooth/dp/B0BW8TXJJ2/ref=sr_1_7</t>
  </si>
  <si>
    <t xml:space="preserve">B0GZNHB218</t>
  </si>
  <si>
    <t xml:space="preserve">boAt 2026 Launch Airdopes Joy v2, 35H Battery, Pocketable Design, ASAP™ Charge, 13mm Drivers, Easy Touch Controls, ENx™ Tech, IWP™ &amp; App Support TWS Bluetooth Earbuds with mic (Dusty Rose)</t>
  </si>
  <si>
    <t xml:space="preserve">https://www.amazon.in/boAt-Airdopes-Pocketable-Controls-Bluetooth/dp/B0GZNHB218/ref=sr_1_8</t>
  </si>
  <si>
    <t xml:space="preserve">B0CFYB2154</t>
  </si>
  <si>
    <t xml:space="preserve">Noise Aura Buds in Ear Truly Wireless Earbuds with 60H of Playtime, Quad Mic with ENC, Dual Device Pairing, Instacharge(10 Min=150 Min),12Mm Polymer Composite Driver,BT V5.3(Aura White)</t>
  </si>
  <si>
    <t xml:space="preserve">https://www.amazon.in/dp/B0CFYB2154</t>
  </si>
  <si>
    <t xml:space="preserve">https://www.amazon.in/boAt-Airdopes-Surround-AI-ENxTM-Bluetooth/dp/B0GZMYZW7R/ref=sr_1_11</t>
  </si>
  <si>
    <t xml:space="preserve">https://www.amazon.in/Mivi-Marathon-Playtime-Wireless-Bluetooth/dp/B0FTFMNYBV/ref=sr_1_12</t>
  </si>
  <si>
    <t xml:space="preserve">realme Buds T200 Lite Bluetooth in Ear Earbuds,4 Mic, AI ENC for Calls,48 Hours Total Playback with Fast Charging and Low Latency Gaming TWS,Google Fast Pair, with mic (Volt Black)</t>
  </si>
  <si>
    <t xml:space="preserve">https://www.amazon.in/realme-Bluetooth-Earbuds-Playback-Charging/dp/B0DZCRYG7R/ref=sr_1_13</t>
  </si>
  <si>
    <t xml:space="preserve">B0GDTRYXYF</t>
  </si>
  <si>
    <t xml:space="preserve">HAMMER Airflow Neo Earbuds with 80H Playtime, 13mm Titanium Driver, 40ms Gaming Mode, Fast Charging Buds, Type-C Charging, Voice Assistant, Lightweight Dual-Tone Design (Grey)</t>
  </si>
  <si>
    <t xml:space="preserve">₹599</t>
  </si>
  <si>
    <t xml:space="preserve">https://www.amazon.in/HAMMER-Playtime-Assistant-Lightweight-Dual-Tone/dp/B0GDTRYXYF/ref=sr_1_14</t>
  </si>
  <si>
    <t xml:space="preserve">B0DFWL8F5C</t>
  </si>
  <si>
    <t xml:space="preserve">realme Buds T110 Bluetooth Truly Wireless in Ear Earbuds with mic, AI ENC for Calls, Google Fast Pair, 38 Hours Total Playback with Fast Charging and Low Latency Gaming Mode (Punk Black)</t>
  </si>
  <si>
    <t xml:space="preserve">https://www.amazon.in/realme-Bluetooth-Wireless-Playback-Charging/dp/B0DFWL8F5C/ref=sr_1_15</t>
  </si>
  <si>
    <t xml:space="preserve">https://www.amazon.in/Kratos-TW02-Isolation-Bluetooth-Assistant/dp/B0G2H4R5YB/ref=sr_1_16</t>
  </si>
  <si>
    <t xml:space="preserve">https://www.amazon.in/boAt-Airdopes-Bluetooth-Wireless-Earphones/dp/B0FC2Y3XGV/ref=sr_1_17</t>
  </si>
  <si>
    <t xml:space="preserve">boAt 2026 Launch Airdopes Plus 224, Powerful Spatial Audio, 60H Playback, Quad Mics AI-ENx™, 13 mm Drivers, App Support, Multi Connect, Google Fast Pair, Bluetooth v6.0 TWS Earbuds (Matte Black)</t>
  </si>
  <si>
    <t xml:space="preserve">https://www.amazon.in/boAt-Airdopes-Powerful-Playback-Bluetooth/dp/B0GXB9M2HW/ref=sr_1_18</t>
  </si>
  <si>
    <t xml:space="preserve">B0D3DH8TSC</t>
  </si>
  <si>
    <t xml:space="preserve">boAt Airdopes 300, Cinematic Spatial Audio, 50HRS Battery, 4Mic AI ENx, Fast Charge, App Support, Low Latency, IPX4, v5.3 Bluetooth Earbuds, TWS Ear Buds Wireless Earphones with mic (Gunmetal Black)</t>
  </si>
  <si>
    <t xml:space="preserve">https://www.amazon.in/boAt-Airdopes-300-Multipoint-Connection/dp/B0D3DH8TSC/ref=sr_1_19</t>
  </si>
  <si>
    <t xml:space="preserve">https://www.amazon.in/boAt-Airdopes-ProClip-Conduction-Feather-Light/dp/B0GZN7C6X8/ref=sr_1_20</t>
  </si>
  <si>
    <t xml:space="preserve">B0GCMGNVJX</t>
  </si>
  <si>
    <t xml:space="preserve">https://www.amazon.in/Kratos-Isolation-Bluetooth-Assistant-Earphones/dp/B0GCMGNVJX/ref=sr_1_22</t>
  </si>
  <si>
    <t xml:space="preserve">B0DXPNVSSB</t>
  </si>
  <si>
    <t xml:space="preserve">boAt Airdopes 101v2, 35H Battery, ENx Tech, 13mm Drivers, ASAP Charge, Flex-Fit Ear Tips,Stream Ad Free Music via App Support, Bluetooth Earbuds, TWS Ear Buds Wireless Earphones with mic (Pitch Black)</t>
  </si>
  <si>
    <t xml:space="preserve">₹849</t>
  </si>
  <si>
    <t xml:space="preserve">https://www.amazon.in/boAt-Airdopes-101v2-Pitch-Black/dp/B0DXPNVSSB/ref=sr_1_20</t>
  </si>
  <si>
    <t xml:space="preserve">https://www.amazon.in/VarniEnterprise-Bluetooth-Charging-Reduction-Earphones/dp/B0HCC9J9WV/ref=sr_1_21</t>
  </si>
  <si>
    <t xml:space="preserve">B0GFH4C819</t>
  </si>
  <si>
    <t xml:space="preserve">Wireless Earbuds Bluetooth 5.3,Bass Boosted Ear Buds 40H Playtime IP6 Waterproof Ear Phones with LED Digital Display Charging Case,4 ENC Mics for Work Sports</t>
  </si>
  <si>
    <t xml:space="preserve">₹1,998</t>
  </si>
  <si>
    <t xml:space="preserve">https://www.amazon.in/dp/B0GFH4C819</t>
  </si>
  <si>
    <t xml:space="preserve">https://www.amazon.in/boAt-Airdopes-Alpha-Wireless-Earbuds/dp/B0C3ZYFZ77/ref=sr_1_24</t>
  </si>
  <si>
    <t xml:space="preserve">B088FKCD4J</t>
  </si>
  <si>
    <t xml:space="preserve">boAt Airdopes 131 with 60 Hrs Playback, ASAP Charge Truly Wireless Bluetooth in Ear Earbuds with Mic (Active Black)</t>
  </si>
  <si>
    <t xml:space="preserve">https://www.amazon.in/Airdopes-131-Technology-Bluetooth-Immersive/dp/B088FKCD4J/ref=sr_1_25</t>
  </si>
  <si>
    <t xml:space="preserve">B0GWGPYZVQ</t>
  </si>
  <si>
    <t xml:space="preserve">Wireless Earbuds, Bluetooth 5.3 Headphones with HiFi Stereo Sound, 48H Playtime with LED Power Display Charging Case, IP6 Waterproof in Ear Earphone with Mic for Sport</t>
  </si>
  <si>
    <t xml:space="preserve">https://www.amazon.in/dp/B0GWGPYZVQ</t>
  </si>
  <si>
    <t xml:space="preserve">https://www.amazon.in/GOBOULT-Launched-Playtime-Bluetooth-Wireless/dp/B0H6B3HXXG/ref=sr_1_28</t>
  </si>
  <si>
    <t xml:space="preserve">B09N3ZNHTY</t>
  </si>
  <si>
    <t xml:space="preserve">boAt Airdopes 141/8, Low Latency, ENx Tech, 42HRS Battery, Fast Charge, Stream Ad Free Music via App Support, Bluetooth Earbuds, TWS Ear Buds Wireless Earphones with mic (Bold Black)</t>
  </si>
  <si>
    <t xml:space="preserve">https://www.amazon.in/Airdopes-141-Playtime-Resistance-Bluetooth/dp/B09N3ZNHTY/ref=sr_1_29</t>
  </si>
  <si>
    <t xml:space="preserve">B0CFYF21QZ</t>
  </si>
  <si>
    <t xml:space="preserve">Noise Aura Buds in Ear Truly Wireless Earbuds with 60H of Playtime, Quad Mic with ENC, Dual Device Pairing, Instacharge(10 Min=150 Min),12Mm Polymer Composite Driver,BT V5.3(Aura Black)</t>
  </si>
  <si>
    <t xml:space="preserve">https://www.amazon.in/dp/B0CFYF21QZ</t>
  </si>
  <si>
    <t xml:space="preserve">boAt 2026 Launch Airdopes Plus 224, Powerful Spatial Audio, 60H Playback, Quad Mics AI-ENx™, 13 mm Drivers, App Support, Multi Connect, Google Fast Pair, Bluetooth v6.0 TWS Earbuds (Off White)</t>
  </si>
  <si>
    <t xml:space="preserve">https://www.amazon.in/boAt-Airdopes-Powerful-Playback-Bluetooth/dp/B0GXBBD73Q/ref=sr_1_32</t>
  </si>
  <si>
    <t xml:space="preserve">Noise Buds N1 Pro Truly Wireless Earbuds with Metallic Finish, ANC(Upto 30Db), 60H of Playtime, Dual Pairing, Instacharge(10 Min=200 Min), BT V5.3(Chrome Beige)</t>
  </si>
  <si>
    <t xml:space="preserve">https://www.amazon.in/Noise-Wireless-Metallic-Playtime-Instacharge/dp/B0D4QNLF6Y/ref=sr_1_33</t>
  </si>
  <si>
    <t xml:space="preserve">https://www.amazon.in/boAt-Airdopes-Plus-311-Bluetooth/dp/B0DZXX6SKP/ref=sr_1_34</t>
  </si>
  <si>
    <t xml:space="preserve">https://www.amazon.in/Wireless-Bluetooth-Reduction-Earphones-Charging/dp/B0HCCPSMC7/ref=sr_1_36</t>
  </si>
  <si>
    <t xml:space="preserve">B0F8BVYRWS</t>
  </si>
  <si>
    <t xml:space="preserve">boAt Airdopes Prime 701 ANC, 46dB Hybrid ANC, 50Hr Battery, Real Spatial Audio,Multidevice Connect,App Support, Bluetooth Earbuds, TWS Ear Buds Wireless Earphones with mic (Obsidian Black)</t>
  </si>
  <si>
    <t xml:space="preserve">https://www.amazon.in/boAt-Airdopes-Multidevice-Bluetooth-Earphones/dp/B0F8BVYRWS/ref=sr_1_37</t>
  </si>
  <si>
    <t xml:space="preserve">B0DZ12NCD7</t>
  </si>
  <si>
    <t xml:space="preserve">GOBOULT Astra Neo Bluetooth in Ear Earbuds with 70H Playtime, 40mm Bass Driver, Zen ENC Mic, Type-C Fast Charging, 4EQ Modes, Bluetooth 5.4, Low Latency Gaming, Wireless Earbuds (White)</t>
  </si>
  <si>
    <t xml:space="preserve">https://www.amazon.in/GOBOULT-Formerly-Bluetooth-Playtime-Charging/dp/B0DZ12NCD7/ref=sr_1_38</t>
  </si>
  <si>
    <t xml:space="preserve">https://www.amazon.in/pTron-Bassbuds-Bluetooth-Headphones-Assistant/dp/B0D78XSMSM/ref=sr_1_39</t>
  </si>
  <si>
    <t xml:space="preserve">B0CQ4MMP63</t>
  </si>
  <si>
    <t xml:space="preserve">GOBOULT Astra Truly Wireless in Ear Earbuds with 48H Playtime, Built-in App Support, 45ms Low Latency Gaming, 4 Mics ENC, Breathing LEDs,13mm Bass Drivers, TWS Ear Buds</t>
  </si>
  <si>
    <t xml:space="preserve">https://www.amazon.in/Boult-Launched-Wireless-Breathing-Bluetooth/dp/B0CQ4MMP63/ref=sr_1_40</t>
  </si>
  <si>
    <t xml:space="preserve">B0D49ZS9MT</t>
  </si>
  <si>
    <t xml:space="preserve">boAt Airdopes 121 Pro Plus,100H Battery,4Mics ENx,Low Latency,Fast Charge, LED Display, App Support, Bluetooth in Ear Earbuds, TWS Ear Buds Wireless Earphones with mic (Black)</t>
  </si>
  <si>
    <t xml:space="preserve">https://www.amazon.in/boAt-Airdopes-121-Pro-Plus/dp/B0D49ZS9MT/ref=sr_1_41</t>
  </si>
  <si>
    <t xml:space="preserve">smartwatch with bluetooth calling</t>
  </si>
  <si>
    <t xml:space="preserve">Other: Pebble</t>
  </si>
  <si>
    <t xml:space="preserve">B0DRVH17LV</t>
  </si>
  <si>
    <t xml:space="preserve">Pebble Revolve Pro 1.43" Ultra AMOLED Smartwatch | Rotating Bezel | 600 Nits Brightness | AOD | High-Accuracy Step Counter | Metal Build &amp; Premium Strap | BT Calling | DIY Watch Faces - Grey</t>
  </si>
  <si>
    <t xml:space="preserve">https://www.amazon.in/dp/B0DRVH17LV</t>
  </si>
  <si>
    <t xml:space="preserve">B0DB5XSKLJ</t>
  </si>
  <si>
    <t xml:space="preserve">Fastrack Astor FS1 Pro Smart Watch, 1.97" AMOLED Display, Bluetooth Calling, 100+ Sports Modes, SpO2 &amp; Heart Rate Monitoring, Women's Health, IP68, Up to 5 Days Battery, Functional Crown (Black)</t>
  </si>
  <si>
    <t xml:space="preserve">https://www.amazon.in/dp/B0DB5XSKLJ</t>
  </si>
  <si>
    <t xml:space="preserve">Other: T8OO</t>
  </si>
  <si>
    <t xml:space="preserve">B0H9NYH8DW</t>
  </si>
  <si>
    <t xml:space="preserve">T8OO Mens &amp; Womens Smartwatch | Bluetooth Calling | 1.99" HD Touch Display | 1-Game | Calculator | Calander | Fitness &amp; Sports Mode | Waterproof | Change Wallpaper | BOS1 | (Free Size, Orange Straps)</t>
  </si>
  <si>
    <t xml:space="preserve">₹488</t>
  </si>
  <si>
    <t xml:space="preserve">https://www.amazon.in/Smartwatch-Bluetooth-Calculator-Waterproof-Wallpaper/dp/B0H9NYH8DW/ref=sr_1_3</t>
  </si>
  <si>
    <t xml:space="preserve">Other: Mens</t>
  </si>
  <si>
    <t xml:space="preserve">B0HDTVN4CN</t>
  </si>
  <si>
    <t xml:space="preserve">Mens &amp; Womens T8OO Smartwatch | Bluetooth Calling | 1.99" HD Touch Display | 1-Game | Calculator | Calander | Fitness &amp; Sports Mode | Waterproof | Change Wallpaper | B102 | (Free Size, Black Straps)</t>
  </si>
  <si>
    <t xml:space="preserve">https://www.amazon.in/Smartwatch-Bluetooth-Calculator-Waterproof-Wallpaper/dp/B0HDTVN4CN/ref=sr_1_4</t>
  </si>
  <si>
    <t xml:space="preserve">B0GVYXJHZJ</t>
  </si>
  <si>
    <t xml:space="preserve">Fastrack Revoltt FS3 Smart Watch with 2.01” TFT Display,Push Button Interactions, HRM, SpO2, Sleep, Multiple Menu Style, Rotary Crown, IP68, BT calling, 24/7 Health Suite, Alarm, Stopwatch - Dark Blue</t>
  </si>
  <si>
    <t xml:space="preserve">https://www.amazon.in/dp/B0GVYXJHZJ</t>
  </si>
  <si>
    <t xml:space="preserve">B0CLR9LP6T</t>
  </si>
  <si>
    <t xml:space="preserve">Titan Crest 1.43” AMOLED Smart Watch with BT Calling, AI Morning Briefs, Functional Crown, Health Tracking, Aluminium Body, 100+ Sports Modes, Smartwatch for Men and Women - Rose Gold Mesh Strap</t>
  </si>
  <si>
    <t xml:space="preserve">₹5,399</t>
  </si>
  <si>
    <t xml:space="preserve">https://www.amazon.in/dp/B0CLR9LP6T</t>
  </si>
  <si>
    <t xml:space="preserve">Noise Twist Round dial Smart Watch with Bluetooth Calling, 1.38" TFT Display, up-to 7 Days Battery, 100+ Watch Faces, IP68, Heart Rate Monitor, Sleep Tracking (Jet Black)</t>
  </si>
  <si>
    <t xml:space="preserve">https://www.amazon.in/Noise-Launched-Bluetooth-Calling-Tracking/dp/B0BJ72WZQ7/ref=sr_1_7</t>
  </si>
  <si>
    <t xml:space="preserve">B0FLF44GTQ</t>
  </si>
  <si>
    <t xml:space="preserve">boAt Wave Call 3 Smartwatch 1.83” HD Display with Animated Watch Faces; BT Calling, Functional Crown, Multiple Sports Modes, IP68, HR, SpO2 Monitor, Smart Watches for Men &amp; Women (Bold Black)</t>
  </si>
  <si>
    <t xml:space="preserve">https://www.amazon.in/Smartwatch-Display-Animated-Functional-Multiple/dp/B0FLF44GTQ/ref=sr_1_8</t>
  </si>
  <si>
    <t xml:space="preserve">B0F5HSJY5H</t>
  </si>
  <si>
    <t xml:space="preserve">Fastrack Volt S1 Smart Watch for Man and Women Latest with 1.83" Display, Silicone Strap, BT Calling, 100+ Sports Modes, Heart Rate, SpO2, IP68, Ideal Smartwatch for Boys and Girls (Blue)</t>
  </si>
  <si>
    <t xml:space="preserve">https://www.amazon.in/dp/B0F5HSJY5H</t>
  </si>
  <si>
    <t xml:space="preserve">Fastrack MYND 1.93” AMOLED Display Smart Watch for Men &amp; Women with AI Watch Faces,AI Chat,Offline Voice Commands,Curved Metallic Design,Functional Crown,BT Calling, Health Suite,100+ multisport modes</t>
  </si>
  <si>
    <t xml:space="preserve">https://www.amazon.in/dp/B0FLYHD5MD</t>
  </si>
  <si>
    <t xml:space="preserve">B0C497MSQN</t>
  </si>
  <si>
    <t xml:space="preserve">Fire-Boltt Ninja Call Pro Max Bluetooth Calling Smart Watch, 2.01" HD Display, 120+ Sports Modes, Health Suite, AI Voice Assistance, SpO2 &amp; Heart Rate Monitor Smartwatch for Men &amp; Women - Black</t>
  </si>
  <si>
    <t xml:space="preserve">https://www.amazon.in/Fire-Boltt-Launched-Display-Bluetooth-Assistance/dp/B0C497MSQN/ref=sr_1_11</t>
  </si>
  <si>
    <t xml:space="preserve">https://www.amazon.in/Fire%E2%80%91Boltt-Bluetooth-Assistant-Rotating-Waterproof/dp/B0CMF25TKG/ref=sr_1_12</t>
  </si>
  <si>
    <t xml:space="preserve">Noise ColorFit Pulse 3 with 1.96" Biggest Display Bluetooth Calling Smart Watch, Premium Build, Auto Sport Detection &amp; 170+ Watch Faces Smartwatch for Men &amp; Women - Midnight Black</t>
  </si>
  <si>
    <t xml:space="preserve">https://www.amazon.in/Noise-Launched-Bluetooth-Detection-Smartwatch/dp/B0CQRQK8L8/ref=sr_1_13</t>
  </si>
  <si>
    <t xml:space="preserve">B0B6BMWKDP</t>
  </si>
  <si>
    <t xml:space="preserve">Noise Pulse 2 Max 1.85" Display, Bluetooth Calling Smart Watch, 10 Days Battery, IP68 Waterproof Model Number NSW-203,100 Sports Modes, Smartwatch for Men and Women (Jade Green)</t>
  </si>
  <si>
    <t xml:space="preserve">https://www.amazon.in/Noise-Advanced-Bluetooth-Brightness-Smartwatch/dp/B0B6BMWKDP/ref=sr_1_14</t>
  </si>
  <si>
    <t xml:space="preserve">B0HBXM4JNN</t>
  </si>
  <si>
    <t xml:space="preserve">T8OO Mens &amp; Womens Smartwatch | Bluetooth Calling | 1.99" HD Touch Display | 1-Game | Calculator | Calander | Fitness &amp; Sports Mode | Waterproof | Change Wallpaper | O109 | (Free Size, Orange Straps)</t>
  </si>
  <si>
    <t xml:space="preserve">https://www.amazon.in/Smartwatch-Bluetooth-Calculator-Waterproof-Wallpaper/dp/B0HBXM4JNN/ref=sr_1_15</t>
  </si>
  <si>
    <t xml:space="preserve">Other: Smart</t>
  </si>
  <si>
    <t xml:space="preserve">B0HCBXF349</t>
  </si>
  <si>
    <t xml:space="preserve">Smart Watch Ultra for Men &amp; Women, 1.99" HD Full Touch Display, Bluetooth Calling, Fitness &amp; Health Tracker, IP67 Waterproof Sports Smartwatch with Heart Rate Monitor &amp; Orange Ocean Band</t>
  </si>
  <si>
    <t xml:space="preserve">₹479</t>
  </si>
  <si>
    <t xml:space="preserve">https://www.amazon.in/YZTQU-Display-Bluetooth-Waterproof-Smartwatch/dp/B0HCBXF349/ref=sr_1_16</t>
  </si>
  <si>
    <t xml:space="preserve">B0F2Z2TRK9</t>
  </si>
  <si>
    <t xml:space="preserve">Fire-Boltt Talk Round Smart Watch 1.39″ TFT Display with Bluetooth Calling, Dual Button, Voice Assistance, SPO₂ &amp; Heart Rate Monitor, 120+ Sports Modes, Smartwatch for Men &amp; Women - Green</t>
  </si>
  <si>
    <t xml:space="preserve">https://www.amazon.in/Fire-Boltt-Bluetooth-Calling-Smartwatch-Assistance/dp/B0F2Z2TRK9/ref=sr_1_18</t>
  </si>
  <si>
    <t xml:space="preserve">Other: H6</t>
  </si>
  <si>
    <t xml:space="preserve">B0GL9FDGCT</t>
  </si>
  <si>
    <t xml:space="preserve">H6 Smartwatch Calling,Fitness,Heart Rate Tracking Kids Girls &amp; Boys</t>
  </si>
  <si>
    <t xml:space="preserve">https://www.amazon.in/Smartwatch-Calling-Fitness-Heart-Tracking/dp/B0GL9FDGCT/ref=sr_1_19</t>
  </si>
  <si>
    <t xml:space="preserve">B0GGHQ229W</t>
  </si>
  <si>
    <t xml:space="preserve">Fire-Boltt Ninja Phantom Smart Watch 1.83” Display, Transparent Clear Body Design, Bluetooth Calling, 120+ Sports Modes, Voice Assistant, AI Outfit Watch Face Smartwatch for Men &amp; Women Shadow Black</t>
  </si>
  <si>
    <t xml:space="preserve">https://www.amazon.in/Fire-Boltt-Transparent-Bluetooth-Assistant-Smartwatch/dp/B0GGHQ229W/ref=sr_1_20</t>
  </si>
  <si>
    <t xml:space="preserve">Other: Bluetooth</t>
  </si>
  <si>
    <t xml:space="preserve">B0H8DTL78B</t>
  </si>
  <si>
    <t xml:space="preserve">Bluetooth Calling Smart Watch with HD Display, Fitness Tracking, Heart Rate &amp; Sleep Monitor for Android &amp; iOS</t>
  </si>
  <si>
    <t xml:space="preserve">https://www.amazon.in/Bluetooth-Calling-Display-Fitness-Tracking/dp/B0H8DTL78B/ref=sr_1_21</t>
  </si>
  <si>
    <t xml:space="preserve">boAt Lunar Discovery Neo, 1.39" (3.5 cm) Round HD Display, Premium Metallic Finish, Animated Watchfaces, 100+ Sports Mode, Bluetooth Calling, Smart Watch for Men &amp; Women (Active Black)</t>
  </si>
  <si>
    <t xml:space="preserve">https://www.amazon.in/Discovery-Metallic-Animated-Watchfaces-Bluetooth/dp/B0G1T2GZP9/ref=sr_1_22</t>
  </si>
  <si>
    <t xml:space="preserve">B0F5HQSXSV</t>
  </si>
  <si>
    <t xml:space="preserve">Fastrack Limitless FS2 Pro 1.96" AMOLED Smart Watch with BT Calling, AI Voice Assistant, 100+ Sports Modes, 5-Day Battery, Fast Charge, Health Tracking, – Smartwatch for Men &amp; Women (Teal)</t>
  </si>
  <si>
    <t xml:space="preserve">https://www.amazon.in/dp/B0F5HQSXSV</t>
  </si>
  <si>
    <t xml:space="preserve">B0DFYNLPFD</t>
  </si>
  <si>
    <t xml:space="preserve">Titan Evolution Smartwatch Comes with 1.85” AMOLED Display with 390 * 450 Pixel Resolution|SingleSync BT Calling|AI Voice Assistant|100+ Sports Modes and Watchfaces|Upto 7 Day Battery|IP68</t>
  </si>
  <si>
    <t xml:space="preserve">https://www.amazon.in/dp/B0DFYNLPFD</t>
  </si>
  <si>
    <t xml:space="preserve">Other: CHG</t>
  </si>
  <si>
    <t xml:space="preserve">B0H46CCMRH</t>
  </si>
  <si>
    <t xml:space="preserve">CHG 3.0 Bluetooth Calling Smart Watch with IP67 Rating &amp; 1.69" Large Display with SpO2 Monitoring, Full Touch Screen &amp; Multiple Watch Faces with Camera &amp; Music Control (Black)</t>
  </si>
  <si>
    <t xml:space="preserve">₹484</t>
  </si>
  <si>
    <t xml:space="preserve">https://www.amazon.in/CHG-Bluetooth-Calling-Monitoring-Multiple/dp/B0H46CCMRH/ref=sr_1_20</t>
  </si>
  <si>
    <t xml:space="preserve">B0DTB2TZ84</t>
  </si>
  <si>
    <t xml:space="preserve">Fire-Boltt Ninja Call Pro Max Bluetooth Calling Smart Watch, 2.01" HD Display, 120+ Sports Modes, Health Suite, AI Voice Assistance, SpO2 &amp; Heart Rate Monitor Smartwatch for Men &amp; Women - Green</t>
  </si>
  <si>
    <t xml:space="preserve">https://www.amazon.in/Fire-Boltt-Display-Bluetooth-Calling-Assistance/dp/B0DTB2TZ84/ref=sr_1_21</t>
  </si>
  <si>
    <t xml:space="preserve">Noise Vortex Plus 1.46 AMOLED Display, AoD, BT Calling, Sleek Metal Finish, 7 Days Battery Life, All New OS with 100+ Watch Faces &amp; Health Suite (Jet Black)</t>
  </si>
  <si>
    <t xml:space="preserve">Fire-Boltt Talk Round Smart Watch 1.39″ TFT Display with Bluetooth Calling, Dual Button, Voice Assistance, SPO₂ &amp; Heart Rate Monitor, 120+ Sports Modes, Metal Smartwatch for Men &amp; Women - Silver</t>
  </si>
  <si>
    <t xml:space="preserve">https://www.amazon.in/Fire-Boltt-Stainless-Bluetooth-Monitoring-Assistant/dp/B0CG1VX5P4/ref=sr_1_24</t>
  </si>
  <si>
    <t xml:space="preserve">B0FP2D6Z16</t>
  </si>
  <si>
    <t xml:space="preserve">Fire-Boltt Axiom Round Smart Watch 1.43″ Super AMOLED Display with Always‑On Mode, Bluetooth Calling, Rotating Crown, SPO₂ &amp; Heart Rate Monitor, IP67 Waterproof Silicone Smartwatch for Men - Black</t>
  </si>
  <si>
    <t xml:space="preserve">https://www.amazon.in/Fire-Boltt-Bluetooth-Rotating-Waterproof-Smartwatch/dp/B0FP2D6Z16/ref=sr_1_25</t>
  </si>
  <si>
    <t xml:space="preserve">B0FLYYHCJW</t>
  </si>
  <si>
    <t xml:space="preserve">₹3,599.10</t>
  </si>
  <si>
    <t xml:space="preserve">https://www.amazon.in/dp/B0FLYYHCJW</t>
  </si>
  <si>
    <t xml:space="preserve">B0GLPBXQQD</t>
  </si>
  <si>
    <t xml:space="preserve">Fastrack Jupiter S3 Smartwatch with 1.83” TFT 2.5D Display, Push Button &amp; Rotary Crown,BT Calling,HRM, SpO2 &amp; Sleep Tracking,Multiple Menu Styles,IP68,24/7 Health Suite,Up to 5 Days Battery - Grey</t>
  </si>
  <si>
    <t xml:space="preserve">₹1,439</t>
  </si>
  <si>
    <t xml:space="preserve">https://www.amazon.in/dp/B0GLPBXQQD</t>
  </si>
  <si>
    <t xml:space="preserve">B0FSLT35WH</t>
  </si>
  <si>
    <t xml:space="preserve">Redmi Move Smartwatch | 1.85" AMOLED (390×450, 600 nits) | Bluetooth Calling | 140+ Sports | 24×7 HR &amp; SPO₂ | AOD | Up to 14-Day Battery | HyperOS (Blue Blaze Strap)</t>
  </si>
  <si>
    <t xml:space="preserve">https://www.amazon.in/Redmi-Smartwatch-390%C3%97450-Bluetooth-Calling/dp/B0FSLT35WH/ref=sr_1_28</t>
  </si>
  <si>
    <t xml:space="preserve">B0DSF243J4</t>
  </si>
  <si>
    <t xml:space="preserve">Fire-Boltt Rise Luxe Bluetooth Calling Smart Watch, 1.85”HD Display,AI Outfit Watch Face, 2 Looks in 1 Watch, Extra Straps at ₹99, 120+ Sports Modes, Metal Smartwatch for Men &amp; Women (Rose Gold)</t>
  </si>
  <si>
    <t xml:space="preserve">https://www.amazon.in/Fire-Boltt-Stainless-Bluetooth-Rotating-Assistant/dp/B0DSF243J4/ref=sr_1_29</t>
  </si>
  <si>
    <t xml:space="preserve">B0FLYKJV58</t>
  </si>
  <si>
    <t xml:space="preserve">Fastrack Vox Plus 1.85” Smart Watch for Men &amp; Women with Ultra VU Display,to-do List,BT Calling, Offline Voice Commands, 24/7 Health Suite (SPO₂, HRM, Sleep), IP68, Games &amp; Multiple Watch Faces</t>
  </si>
  <si>
    <t xml:space="preserve">https://www.amazon.in/dp/B0FLYKJV58</t>
  </si>
  <si>
    <t xml:space="preserve">Noise Newly Launched Halo 2 Smart Watch 1st Ever Functional Rotating Dial (Axe-Cut Bezel), 1.43" AMOLED, Stainless Steel Build, Custom Transition Effects, BT Calling, Health Suite (Vintage Brown)</t>
  </si>
  <si>
    <t xml:space="preserve">B0DGGVHMDS</t>
  </si>
  <si>
    <t xml:space="preserve">Fastrack Astor FR2 Pro 1.43" AMOLED Stainless Steel Smart Watch with SpO2, Heart Rate, BT Calling, Adaptive AOD, Functional Crown, AI Voice Assistant – Smartwatch for Stylish Professionals (Black)</t>
  </si>
  <si>
    <t xml:space="preserve">https://www.amazon.in/Fastrack-Resolution-SingleSync-Assistant-Smartwatch/dp/B0DGGVHMDS/ref=sr_1_32</t>
  </si>
  <si>
    <t xml:space="preserve">Fire-Boltt Ninja Call Pro Max Ultra Bluetooth Calling Smart Watch, 2.01" HD Display, 120+ Sports Modes, Health Suite, AI Voice Assistance, SpO2 Smartwatch for Men &amp; Women - Black Link</t>
  </si>
  <si>
    <t xml:space="preserve">https://www.amazon.in/Fire-Boltt-Display-Bluetooth-Calling-Assistance/dp/B0DKBZYXZY/ref=sr_1_33</t>
  </si>
  <si>
    <t xml:space="preserve">B0DY82221X</t>
  </si>
  <si>
    <t xml:space="preserve">Fire-Boltt Ninja Call Pro Plus Bluetooth Calling Smart Watch, 1.83" Display, AI Voice Assistant, 120+ Sports Modes, IP67 Waterproof, SpO2 &amp; Heart Rate Monitor Smartwatch for Women - Cinnamon Slate</t>
  </si>
  <si>
    <t xml:space="preserve">https://www.amazon.in/Fire-Boltt-Bluetooth-Assistance-Resolution-Cinnamon/dp/B0DY82221X/ref=sr_1_34</t>
  </si>
  <si>
    <t xml:space="preserve">B0D2KGBVX4</t>
  </si>
  <si>
    <t xml:space="preserve">Fire-Boltt Brillia Smart Watch 2.02” Super AMOLED Display, Bluetooth Calling, SpO2, Heart Rate Monitor, 120+ Sports Modes, Fitness Tracker, Voice Assistant, Smart Watch for Man &amp; Women</t>
  </si>
  <si>
    <t xml:space="preserve">https://www.amazon.in/Fire-Boltt-BSW215-Brillia-Dark-Grey/dp/B0D2KGBVX4/ref=sr_1_35</t>
  </si>
  <si>
    <t xml:space="preserve">B0F5HS5NPM</t>
  </si>
  <si>
    <t xml:space="preserve">Fastrack Volt S1 Smart Watch for Man and Women Latest with 1.83" Display, Silicone Strap, BT Calling, 100+ Sports Modes, Heart Rate, SpO2, IP68, Ideal Smartwatch for Boys and Girls (Teal)</t>
  </si>
  <si>
    <t xml:space="preserve">https://www.amazon.in/Fastrack-Display-Silicone-Calling-Smartwatch/dp/B0F5HS5NPM/ref=sr_1_36</t>
  </si>
  <si>
    <t xml:space="preserve">Fire-Boltt Phoenix Round Smart Watch 1.38" HD Display with Bluetooth Calling, SpO2 &amp; Heart Rate Monitor, 120+ Sports Modes, IP67 Waterproof, Fitness Tracker Smartwatch for Men &amp; Women - Black</t>
  </si>
  <si>
    <t xml:space="preserve">https://www.amazon.in/Fire-Boltt-Phoenix-Bluetooth-Calling-Monitoring/dp/B0B3RRWSF6/ref=sr_1_37</t>
  </si>
  <si>
    <t xml:space="preserve">B0H9DNCD63</t>
  </si>
  <si>
    <t xml:space="preserve">T8OO Mens &amp; Womens Smartwatch | Bluetooth Calling | 1.99" HD Touch Display | 1-Game | Calculator | Calander | Fitness &amp; Sports Mode | Waterproof | Change Wallpaper | B+O-1 | (Free Size, Orange Straps)</t>
  </si>
  <si>
    <t xml:space="preserve">https://www.amazon.in/Smartwatch-Bluetooth-Calculator-Waterproof-Wallpaper/dp/B0H9DNCD63/ref=sr_1_38</t>
  </si>
  <si>
    <t xml:space="preserve">B0CVQG14RR</t>
  </si>
  <si>
    <t xml:space="preserve">boAt Wave Sigma 3 w/Turn-by-Turn Navigation, 2.01" (5.1 cm) HD Display, Bluetooth Calling, Crest+ OS, QR Tray, Watch Face Studio, Coins, Emergency SOS Smart Watch for Men &amp; Women(Active Black)</t>
  </si>
  <si>
    <t xml:space="preserve">https://www.amazon.in/boAt-Navigation-Display-Bluetooth-Emergency/dp/B0CVQG14RR/ref=sr_1_39</t>
  </si>
  <si>
    <t xml:space="preserve">B0DY834T7L</t>
  </si>
  <si>
    <t xml:space="preserve">Fire‑Boltt Rise Round Smart Watch 1.85″ HD Display with Bluetooth Calling, Rotating Crown, AI Voice Assistant, SpO2 &amp; Heart Rate Monitor,120+ Sports Modes, IP67 Waterproof Metal Smartwatch - Rose Gold</t>
  </si>
  <si>
    <t xml:space="preserve">https://www.amazon.in/Fire-Boltt-Bluetooth-Assistant-Monitoring-Millanese/dp/B0DY834T7L/ref=sr_1_40</t>
  </si>
  <si>
    <t xml:space="preserve">Noise Pulse 2 Pro [New Launch] 1.8" Vibrant Display, Bluetooth Calling Smart Watch for Men &amp; Women, 7 Days Battery Life, Metallic Finish, Built-in Games, Voice Assistance, Health Suite (Elite Black)</t>
  </si>
  <si>
    <t xml:space="preserve">https://www.amazon.in/Noise-Vibrant-Bluetooth-Metallic-Assistance/dp/B0DNQQ67JY/ref=sr_1_41</t>
  </si>
  <si>
    <t xml:space="preserve">smartwatch under 2000</t>
  </si>
  <si>
    <t xml:space="preserve">B0DKC1XQL3</t>
  </si>
  <si>
    <t xml:space="preserve">Fire-Boltt Ninja Call Pro Max Ultra Bluetooth Calling Smart Watch, 2.01" HD Display, 120+ Sports Modes, Health Suite, AI Voice Assistance, SpO2 Smartwatch for Men &amp; Women - Silver Link</t>
  </si>
  <si>
    <t xml:space="preserve">https://www.amazon.in/dp/B0DKC1XQL3</t>
  </si>
  <si>
    <t xml:space="preserve">B0F993RN8H</t>
  </si>
  <si>
    <t xml:space="preserve">Fire-Boltt Legacy Luxury Round Smart Watch 1.43″ Super AMOLED,Bluetooth Calling,Wireless Charging,Voice Assistant,SpO₂ &amp; Heart Rate Monitor,110+ Sports Modes, Metal Smart Watch for Men &amp; Women - Black</t>
  </si>
  <si>
    <t xml:space="preserve">https://www.amazon.in/dp/B0F993RN8H</t>
  </si>
  <si>
    <t xml:space="preserve">B0CQ4K8J3R</t>
  </si>
  <si>
    <t xml:space="preserve">Noise Twist Go Round dial Smartwatch with BT Calling, 1.39" Display, Metal Build, 100+ Watch Faces, IP68, Sleep Tracking, 100+ Sports Modes, 24/7 Heart Rate Monitoring (Silver Grey)</t>
  </si>
  <si>
    <t xml:space="preserve">https://www.amazon.in/Noise-Smartwatch-Calling-Tracking-Monitoring/dp/B0CQ4K8J3R/ref=sr_1_3</t>
  </si>
  <si>
    <t xml:space="preserve">Fire-Boltt Ninja Call Pro Max Bluetooth Calling Smart Watch, 2.01" HD Display, 120+ Sports Modes, Health Suite, AI Voice Assistance, SpO2 &amp; Heart Rate Monitor Smartwatch for Men &amp; Women - Grey</t>
  </si>
  <si>
    <t xml:space="preserve">https://www.amazon.in/Fire-Boltt-Launched-Display-Bluetooth-Assistance/dp/B0C496V772/ref=sr_1_4</t>
  </si>
  <si>
    <t xml:space="preserve">Fastrack Jupiter R3 1.38" Ultra UV Round Display with Nitro Fast Charging,Single Sync BT Calling, HRM, SPO2, Upto 5 Days Battery Life Smart Watch for Man &amp; Woman - Warm Grey</t>
  </si>
  <si>
    <t xml:space="preserve">https://www.amazon.in/dp/B0GLPC25J2</t>
  </si>
  <si>
    <t xml:space="preserve">Noise Pulse 2 Max 1.85" Display, Bluetooth Calling Smart Watch, 10 Days Battery, 550 NITS Brightness, Smart DND, 100 Sports Modes, Smartwatch for Men and Women (Jet Black)</t>
  </si>
  <si>
    <t xml:space="preserve">https://www.amazon.in/Noise-Advanced-Bluetooth-Brightness-Smartwatch/dp/B0B6BLTGTT/ref=sr_1_7</t>
  </si>
  <si>
    <t xml:space="preserve">B0DDQCDQQG</t>
  </si>
  <si>
    <t xml:space="preserve">Fastrack Jupitor R2 Smart Watch, 1.38” TFT Display, 240 * 240 Pixel Resolution, SingleSync BT Calling, AI Voice Assistant, 100+ Sports Modes &amp; Smartwatch Faces,Upto 5 Day Battery, IP68 (Black)</t>
  </si>
  <si>
    <t xml:space="preserve">https://www.amazon.in/Fastrack-Resolution-SingleSync-Assistant-Smartwatch/dp/B0DDQCDQQG/ref=sr_1_8</t>
  </si>
  <si>
    <t xml:space="preserve">B0D1VKS2L9</t>
  </si>
  <si>
    <t xml:space="preserve">Fastrack New Limitless X2 Smart Watch, 1.91" UltraVU with Rotating Crown, 60 Hz Refresh Rate, Advanced Chipset, SingleSync BT Calling, 100+ Sports Mode &amp; Smartwatch Faces, IP68, (Black)</t>
  </si>
  <si>
    <t xml:space="preserve">https://www.amazon.in/Fastrack-Limitless-Smartwatch-SingleSync-Watchfaces/dp/B0D1VKS2L9/ref=sr_1_11</t>
  </si>
  <si>
    <t xml:space="preserve">https://www.amazon.in/Fire-Boltt-BSW215-Brillia-Dark-Grey/dp/B0D2KGBVX4/ref=sr_1_12</t>
  </si>
  <si>
    <t xml:space="preserve">B0DY7YPBJL</t>
  </si>
  <si>
    <t xml:space="preserve">Fire-Boltt Phoenix Pro Round Smart Watch 1.39" HD Display with Bluetooth Calling, AI Voice Assistant, SpO2 &amp; Heart Rate Monitor, 120+ Sports Modes, IP67 Waterproof Smartwatch for Men &amp; Women - Brown</t>
  </si>
  <si>
    <t xml:space="preserve">https://www.amazon.in/Fire-Boltt-Bluetooth-Assistant-Monitoring-Burgandy/dp/B0DY7YPBJL/ref=sr_1_13</t>
  </si>
  <si>
    <t xml:space="preserve">https://www.amazon.in/Discovery-Metallic-Animated-Watchfaces-Bluetooth/dp/B0G1T2GZP9/ref=sr_1_14</t>
  </si>
  <si>
    <t xml:space="preserve">B0GX9JK9SN</t>
  </si>
  <si>
    <t xml:space="preserve">boAt Storm Call 4 India's first Smartwatch with Type-C Charging,1.96”(4.97 cm) HD Display, Functional Crown, BT Calling, Sports Modes, Heart Rate, SpO2, Sleep &amp; Stress Tracking, SOS,IP68(Active Black)</t>
  </si>
  <si>
    <t xml:space="preserve">https://www.amazon.in/boAt-Smartwatch-Charging-Functional-Tracking/dp/B0GX9JK9SN/ref=sr_1_15</t>
  </si>
  <si>
    <t xml:space="preserve">https://www.amazon.in/Smartwatch-Display-Animated-Functional-Multiple/dp/B0FLF44GTQ/ref=sr_1_16</t>
  </si>
  <si>
    <t xml:space="preserve">https://www.amazon.in/Fire-Boltt-Bluetooth-Calling-Smartwatch-Assistance/dp/B0F2Z2TRK9/ref=sr_1_17</t>
  </si>
  <si>
    <t xml:space="preserve">boAt Lunar Discovery – 2026 Edition w/ 1.39" (3.5 cm) HD Display, Bluetooth Calling, Emergency SOS, HR, SpO2 &amp; Sleep Tracking Smart Watch for Men &amp; Women (Active Black)</t>
  </si>
  <si>
    <t xml:space="preserve">https://www.amazon.in/boAt-Lunar-Discovery-Navigation-Bluetooth/dp/B0DFYL4635/ref=sr_1_18</t>
  </si>
  <si>
    <t xml:space="preserve">B0DSDXJG8Q</t>
  </si>
  <si>
    <t xml:space="preserve">Fire-Boltt Rise Smart Watch 1.85″ with Bluetooth Calling, AI Voice Assistant, Rotating Crown, SpO2 &amp; Heart Rate Monitor, 123 Sports Modes, IP67 Waterproof Metal Smartwatch for Men &amp; Women - Silver</t>
  </si>
  <si>
    <t xml:space="preserve">https://www.amazon.in/Fire-Boltt-Bluetooth-Rotating-Assistant-Monitoring/dp/B0DSDXJG8Q/ref=sr_1_19</t>
  </si>
  <si>
    <t xml:space="preserve">https://www.amazon.in/Noise-Vibrant-Bluetooth-Metallic-Assistance/dp/B0DNQQ67JY/ref=sr_1_20</t>
  </si>
  <si>
    <t xml:space="preserve">B0GGLGGHZF</t>
  </si>
  <si>
    <t xml:space="preserve">GOBOULT Newly Launched Tuff Hawk Smart Watch 1.39'' HD Display, BT Calling, Working Crown, 150+Watchfaces, 450 Nits Brightness, AI Voice Assistant, SpO2 Monitoring (Green) (Black)</t>
  </si>
  <si>
    <t xml:space="preserve">https://www.amazon.in/GOBOULT-Tuff-Hawk-Watchfaces-Brightness/dp/B0GGLGGHZF/ref=sr_1_21</t>
  </si>
  <si>
    <t xml:space="preserve">B0GLPGN521</t>
  </si>
  <si>
    <t xml:space="preserve">Fastrack Jupiter S3 Smartwatch with 1.83” TFT 2.5D Display, Push Button &amp; Rotary Crown,BT Calling,HRM, SpO2 &amp; Sleep Tracking,Multiple Menu Styles,IP68,24/7 Health Suite,Up to 5 Days Battery - Black</t>
  </si>
  <si>
    <t xml:space="preserve">https://www.amazon.in/Fastrack-Jupiter-Smartwatch-Tracking-Multiple/dp/B0GLPGN521/ref=sr_1_22</t>
  </si>
  <si>
    <t xml:space="preserve">Fire-Boltt Legacy Luxury Smart Watch with 1.43” Super AMOLED, Bluetooth Calling, Wireless Charging, Voice Assistant, 110+ Sports Modes &amp; Health Tracking, Smart Watch for Man &amp; Woman– Grey S</t>
  </si>
  <si>
    <t xml:space="preserve">B0FP2FXTYC</t>
  </si>
  <si>
    <t xml:space="preserve">Fire-Boltt Axiom Round Smart Watch 1.43″ Super AMOLED Display with Always‑On Mode, Bluetooth Calling, Rotating Crown, SPO₂ &amp; Heart Rate Monitor, IP67 Waterproof Silicone Smartwatch for Men - Orange</t>
  </si>
  <si>
    <t xml:space="preserve">https://www.amazon.in/Fire-Boltt-Bluetooth-Rotating-Waterproof-Smartwatch/dp/B0FP2FXTYC/ref=sr_1_21</t>
  </si>
  <si>
    <t xml:space="preserve">B0GGHG9CWT</t>
  </si>
  <si>
    <t xml:space="preserve">Fire-Boltt Ninja Phantom Smart Watch 1.83” Display, Transparent Clear Body Design, Bluetooth Calling, 120+ Sports Modes, Voice Assistant, AI Outfit Watch Face Smartwatch for Men &amp; Women Stealth Navy</t>
  </si>
  <si>
    <t xml:space="preserve">https://www.amazon.in/Fire-Boltt-Transparent-Bluetooth-Assistant-Smartwatch/dp/B0GGHG9CWT/ref=sr_1_24</t>
  </si>
  <si>
    <t xml:space="preserve">B0F5HNW218</t>
  </si>
  <si>
    <t xml:space="preserve">Fastrack Volt S1 Smart Watch for Man and Women Latest with 1.83" Display, Silicone Strap, BT Calling, 100+ Sports Modes, Heart Rate, SpO2, IP68, Ideal Smartwatch for Boys and Girls (Beige)</t>
  </si>
  <si>
    <t xml:space="preserve">https://www.amazon.in/Fastrack-Display-Silicone-Calling-Smartwatch/dp/B0F5HNW218/ref=sr_1_25</t>
  </si>
  <si>
    <t xml:space="preserve">B0F5HQX4FC</t>
  </si>
  <si>
    <t xml:space="preserve">Fastrack Jupiter Retro 1.83" Display Smart Watch with Bluetooth Calling, Functional Crown, Metal Strap, 100+ Sports Modes, Health Suite, IP68, 5-Day Battery – Smartwatch for Man &amp; Women Latest (Black)</t>
  </si>
  <si>
    <t xml:space="preserve">https://www.amazon.in/Fastrack-Jupiter-Display-Bluetooth-Functional/dp/B0F5HQX4FC/ref=sr_1_28</t>
  </si>
  <si>
    <t xml:space="preserve">₹487</t>
  </si>
  <si>
    <t xml:space="preserve">https://www.amazon.in/Smartwatch-Bluetooth-Calculator-Waterproof-Wallpaper/dp/B0H9NYH8DW/ref=sr_1_29</t>
  </si>
  <si>
    <t xml:space="preserve">B0G6K9G3YS</t>
  </si>
  <si>
    <t xml:space="preserve">Pebble Dash Smartwatch 1.47" HD Display | Bluetooth Calling | Health Suite | Female Health &amp; Sleep Tracking | Multiple Sports Modes | DIY Watch Faces | Premium Build (Jet Black)</t>
  </si>
  <si>
    <t xml:space="preserve">https://www.amazon.in/dp/B0G6K9G3YS</t>
  </si>
  <si>
    <t xml:space="preserve">B0DF31RRVB</t>
  </si>
  <si>
    <t xml:space="preserve">PunnkFunnk EVO Vista Smartwatch, 1.3” HD Display Bluetooth Calling Metal Smartwatch, Fitness &amp; Sleep Tracker, 100+ Sports Modes, IP67 Waterproof Compatible with Android &amp; iOS(Black)</t>
  </si>
  <si>
    <t xml:space="preserve">https://www.amazon.in/dp/B0DF31RRVB</t>
  </si>
  <si>
    <t xml:space="preserve">boAt Wave Sigma 3 Curv Smartwatch with 2.01” (5.33 cm) Immersive Curved Display, Metallic Finish, Functional Crown, BT Calling, Sleep, Stress, Heart Rate &amp; SpO2 Monitoring, SOS, IP68 (Black Steel)</t>
  </si>
  <si>
    <t xml:space="preserve">https://www.amazon.in/boAt-Smartwatch-Immersive-Functional-Monitoring/dp/B0GPDRBRBX/ref=sr_1_32</t>
  </si>
  <si>
    <t xml:space="preserve">Noise ColorFit Pulse 3 with 1.96" Biggest Display Bluetooth Calling Smart Watch, Premium Build, Auto Sport Detection &amp; 170+ Watch Faces Smartwatch for Men &amp; Women (Mocha Brown)</t>
  </si>
  <si>
    <t xml:space="preserve">https://www.amazon.in/Noise-ColorFit-Pulse-Smartwatch-Mocha/dp/B0D4ZFTLPX/ref=sr_1_33</t>
  </si>
  <si>
    <t xml:space="preserve">https://www.amazon.in/Fire-Boltt-Bluetooth-Assistant-Monitoring-Millanese/dp/B0DY834T7L/ref=sr_1_34</t>
  </si>
  <si>
    <t xml:space="preserve">B0DDQCB71F</t>
  </si>
  <si>
    <t xml:space="preserve">Fastrack Jupitor R2 Smart Watch, 1.38” TFT Display, 240 * 240 Pixel Resolution, SingleSync BT Calling, AI Voice Assistant, 100+ Sports Modes &amp; Smartwatch Faces,Upto 5 Day Battery, IP68 (Blue)</t>
  </si>
  <si>
    <t xml:space="preserve">https://www.amazon.in/Fastrack-Resolution-SingleSync-Assistant-Smartwatch/dp/B0DDQCB71F/ref=sr_1_35</t>
  </si>
  <si>
    <t xml:space="preserve">B0G61HJYR3</t>
  </si>
  <si>
    <t xml:space="preserve">Fire-Boltt Ninja X Ring Smart Watch with 1.96” Large Display, Bluetooth Calling, Wireless Charging, AI Voice Assistant, 500+ Watch Faces, Health Suite, Smart Watch for Man &amp; Woman – Blue S</t>
  </si>
  <si>
    <t xml:space="preserve">https://www.amazon.in/Fire-Boltt-Bluetooth-Wireless-Charging-Assistant/dp/B0G61HJYR3/ref=sr_1_36</t>
  </si>
  <si>
    <t xml:space="preserve">boAt Lunar Vista w/Large 1.52" (3.8 cm) AuraVue Display, AOD, 550 Nits Brightness, Functional Crown,100+ Sports Mode, Heart Rate &amp; Sp02 Monitoring, Fitness Smart Watch for Men &amp; Women (Active Black)</t>
  </si>
  <si>
    <t xml:space="preserve">https://www.amazon.in/boAt-Advanced-Bluetooth-Functional-Monitoring/dp/B0CF1NTL6M/ref=sr_1_37</t>
  </si>
  <si>
    <t xml:space="preserve">B0BW4BFBD5</t>
  </si>
  <si>
    <t xml:space="preserve">Noise Quad Call 1.81" Display, Bluetooth Calling Smart Watch, AI Voice Assistance, 160+Hrs Battery Life, Metallic Build, in-Built Games, 100 Sports Modes, 100+ Watch Faces (Rose Pink)</t>
  </si>
  <si>
    <t xml:space="preserve">https://www.amazon.in/Noise-Launched-Bluetooth-Assistance-Metallic/dp/B0BW4BFBD5/ref=sr_1_38</t>
  </si>
  <si>
    <t xml:space="preserve">Noise Pulse 2 Max 1.85" Display, Bluetooth Calling Smart Watch, 10 Days Battery, 550 NITS Brightness, Smart DND, 100 Sports Modes, Smartwatch for Men and Women (Space Blue)</t>
  </si>
  <si>
    <t xml:space="preserve">https://www.amazon.in/Noise-Display-Bluetooth-Brightness-Smartwatch/dp/B0GMK64GS1/ref=sr_1_39</t>
  </si>
  <si>
    <t xml:space="preserve">B0CG1V9H8T</t>
  </si>
  <si>
    <t xml:space="preserve">Fire-Boltt Talk Round Smart Watch 1.39″ TFT Display with Bluetooth Calling, Dual Button, Voice Assistance, SPO₂ &amp; Heart Rate Monitor, 120+ Sports Modes, Metal Smartwatch for Men &amp; Women - Gold</t>
  </si>
  <si>
    <t xml:space="preserve">https://www.amazon.in/Fire-Boltt-Stainless-Bluetooth-Monitoring-Assistant/dp/B0CG1V9H8T/ref=sr_1_40</t>
  </si>
  <si>
    <t xml:space="preserve">smartwatch under 3000</t>
  </si>
  <si>
    <t xml:space="preserve">B0FLYHGXVJ</t>
  </si>
  <si>
    <t xml:space="preserve">https://www.amazon.in/dp/B0FLYHGXVJ</t>
  </si>
  <si>
    <t xml:space="preserve">Noise Newly Launched Halo 2 Smart Watch 1st Ever Functional Rotating Dial (Axe-Cut Bezel), 1.43" AMOLED, Stainless Steel Build, Custom Transition Effects, BT Calling, Health Suite (Jet Black)</t>
  </si>
  <si>
    <t xml:space="preserve">https://www.amazon.in/dp/B0D6N5V9PY</t>
  </si>
  <si>
    <t xml:space="preserve">B0F5HP275V</t>
  </si>
  <si>
    <t xml:space="preserve">Fastrack Limitless FS2 Pro 1.96" AMOLED Smart Watch with BT Calling, AI Voice Assistant, 100+ Sports Modes, 5-Day Battery, Fast Charge, Health Tracking, – Smartwatch for Men&amp; Women (Black)(38086PP01K)</t>
  </si>
  <si>
    <t xml:space="preserve">₹2,995</t>
  </si>
  <si>
    <t xml:space="preserve">https://www.amazon.in/Fastrack-Limitless-Calling-Assistant-Tracking/dp/B0F5HP275V/ref=sr_1_3</t>
  </si>
  <si>
    <t xml:space="preserve">B0D6GJH129</t>
  </si>
  <si>
    <t xml:space="preserve">Noise Pulse 4 Max Smart Watch with AI Create (India's 1st Ever with Unlimited Watch Faces), AI Search, 1.96" AMOLED Display, Functional Crown, Premium Metallic Finish, Health Suite (Space Blue)</t>
  </si>
  <si>
    <t xml:space="preserve">https://www.amazon.in/Noise-Unlimited-Display-Functional-Metallic/dp/B0D6GJH129/ref=sr_1_4</t>
  </si>
  <si>
    <t xml:space="preserve">https://www.amazon.in/Redmi-Smartwatch-390%C3%97450-Bluetooth-Calling/dp/B0FSLT35WH/ref=sr_1_7</t>
  </si>
  <si>
    <t xml:space="preserve">Other: REDMI</t>
  </si>
  <si>
    <t xml:space="preserve">B0FSLPCHBX</t>
  </si>
  <si>
    <t xml:space="preserve">REDMI Watch Move 1.85 Premium AmoLED,14 Day Battery,Best Accuracy,Dual Core Processor Smartwatch (Black Drift Strap, Free Size)</t>
  </si>
  <si>
    <t xml:space="preserve">https://www.amazon.in/Redmi-Smartwatch-390%C3%97450-Bluetooth-Calling/dp/B0FSLPCHBX/ref=sr_1_8</t>
  </si>
  <si>
    <t xml:space="preserve">Noise Vortex Plus 1.46” AMOLED Display, AoD BT Calling, Sleek Metal Finish, 7 Days Battery Life, All New OS and with 100+ Watch Faces &amp; Health Suite (Metal Black)</t>
  </si>
  <si>
    <t xml:space="preserve">Noise Twist Go Round dial Smartwatch with BT Calling, 1.39" Display, Metal Build, 100+ Watch Faces, IP68, Sleep Tracking, 100+ Sports Modes, 24/7 Heart Rate Monitoring (Gold Link)</t>
  </si>
  <si>
    <t xml:space="preserve">https://www.amazon.in/Noise-Smartwatch-Calling-Tracking-Monitoring/dp/B0CQ4HSR2D/ref=sr_1_11</t>
  </si>
  <si>
    <t xml:space="preserve">B0H1J5QHXG</t>
  </si>
  <si>
    <t xml:space="preserve">boAt New Launch Ultima Vogue 2, India's First AMOLED Type-C Smartwatch, 1.96" Display, 1000 nits Brightness, Metal Body w/Premium Straps, 10-Days Battery Life, Smartwatch for Men &amp; Women(Active Black)</t>
  </si>
  <si>
    <t xml:space="preserve">https://www.amazon.in/boAt-Smartwatch-Display-Brightness-Premium/dp/B0H1J5QHXG/ref=sr_1_12</t>
  </si>
  <si>
    <t xml:space="preserve">boAt Chrome Horizon, Premium Metal Body, Video Watch Faces, 1.51”(3.83cm) AMOLED Round Display, HRV &amp; VO2 Max, Auto-Activity Detection, ASAP Charge, HRV Smartwatch for Men &amp; Women (Midnight Black)</t>
  </si>
  <si>
    <t xml:space="preserve">https://www.amazon.in/boAt-Auto-Activity-Detection-Advanced-Bluetooth/dp/B0F491YC5Q/ref=sr_1_13</t>
  </si>
  <si>
    <t xml:space="preserve">B0F43W1KL1</t>
  </si>
  <si>
    <t xml:space="preserve">Fastrack Optimus 2 Pro Smart Watch,1.43'' AMOLED Display, Advanced Blazing Fast UI, AOD, Metal Case, IP68 Water &amp; Dust Resistant, Single Sync BT Calling, Working Crown Smartwatch for Men &amp; Women</t>
  </si>
  <si>
    <t xml:space="preserve">https://www.amazon.in/Fastrack-Optimus-Advanced-Resistant-Smartwatch/dp/B0F43W1KL1/ref=sr_1_14</t>
  </si>
  <si>
    <t xml:space="preserve">https://www.amazon.in/Fire-Boltt-Bluetooth-Rotating-Waterproof-Smartwatch/dp/B0FP2D6Z16/ref=sr_1_15</t>
  </si>
  <si>
    <t xml:space="preserve">B0DCZWZ39H</t>
  </si>
  <si>
    <t xml:space="preserve">Redmi Watch 5 Active, 2" Display, Metal Body, 18 Day Battery, Bluetooth Calling, Advanced AI Noise Cancellation, Alexa, Midnight Black</t>
  </si>
  <si>
    <t xml:space="preserve">https://www.amazon.in/Redmi-Display-Bluetooth-Advanced-Cancellation/dp/B0DCZWZ39H/ref=sr_1_16</t>
  </si>
  <si>
    <t xml:space="preserve">https://www.amazon.in/Noise-Launched-Display-Calling-Battery/dp/B0CG1Y3336/ref=sr_1_17</t>
  </si>
  <si>
    <t xml:space="preserve">https://www.amazon.in/boAt-Smartwatch-Charging-Functional-Tracking/dp/B0GX9JK9SN/ref=sr_1_18</t>
  </si>
  <si>
    <t xml:space="preserve">B0GYYM57FP</t>
  </si>
  <si>
    <t xml:space="preserve">GOBOULT Mustang Muscle Smart Watch 2.01'' 3D Curved Display, Convertible Strap, Premium Metallic Crown, BT Calling, 600 Nits Brightness, AI Voice Assistant, IP68 (Extra Strap, Black Eclipse)</t>
  </si>
  <si>
    <t xml:space="preserve">https://www.amazon.in/GOBOULT-Mustang-Muscle-Convertible-Brightness/dp/B0GYYM57FP/ref=sr_1_19</t>
  </si>
  <si>
    <t xml:space="preserve">https://www.amazon.in/Fire-Boltt-Launched-Display-Bluetooth-Assistance/dp/B0C497MSQN/ref=sr_1_20</t>
  </si>
  <si>
    <t xml:space="preserve">https://www.amazon.in/Smartwatch-Display-Animated-Functional-Multiple/dp/B0FLF44GTQ/ref=sr_1_21</t>
  </si>
  <si>
    <t xml:space="preserve">https://www.amazon.in/Fire-Boltt-Bluetooth-Assistant-Monitoring-Burgandy/dp/B0DY7YPBJL/ref=sr_1_22</t>
  </si>
  <si>
    <t xml:space="preserve">Fire-Boltt Legacy Luxury Round Smart Watch 1.43″ Super AMOLED, Bluetooth Calling, Wireless Charging, Voice Assistant, SPO₂ &amp; Heart Rate Monitor, 110+ Sports Modes, Smart Watch for Men &amp; Women - Black</t>
  </si>
  <si>
    <t xml:space="preserve">https://www.amazon.in/dp/B0F2Z1Q4W4</t>
  </si>
  <si>
    <t xml:space="preserve">B0BNNC7R2W</t>
  </si>
  <si>
    <t xml:space="preserve">NoiseFit Halo 1.43" AMOLED Display, Bluetooth Calling Round Dial Smart Watch, Premium Metallic Build, Always on Display, Smart Gesture Control, 100 Sports Modes (Forest Green)</t>
  </si>
  <si>
    <t xml:space="preserve">https://www.amazon.in/NoiseFit-Display-Bluetooth-Calling-Metallic/dp/B0BNNC7R2W/ref=sr_1_20</t>
  </si>
  <si>
    <t xml:space="preserve">Noise Diva (Smartchoice) Smartwatch with Diamond Cut dial, Glossy Metallic Finish, AMOLED Display, Mesh Metal and Leather Strap Options, Female Cycle Tracker smart Watch for Women (Rose Pink)</t>
  </si>
  <si>
    <t xml:space="preserve">https://www.amazon.in/Noise-Smartwatch-Diamond-Metallic-Display/dp/B0C5X2JV72/ref=sr_1_21</t>
  </si>
  <si>
    <t xml:space="preserve">B0BLHGBSG8</t>
  </si>
  <si>
    <t xml:space="preserve">NoiseFit Halo 1.43" AMOLED Display, Bluetooth Calling Round Dial Smart Watch, Premium Metallic Build, Always on Display, Smart Gesture Control, 100 Sports Modes (Jet Black)</t>
  </si>
  <si>
    <t xml:space="preserve">https://www.amazon.in/dp/B0BLHGBSG8</t>
  </si>
  <si>
    <t xml:space="preserve">https://www.amazon.in/Noise-Advanced-Bluetooth-Brightness-Smartwatch/dp/B0B6BLTGTT/ref=sr_1_24</t>
  </si>
  <si>
    <t xml:space="preserve">B0H1J94XZN</t>
  </si>
  <si>
    <t xml:space="preserve">boAt New Launch Ultima Vogue 2, India's First AMOLED Type-C Smartwatch, 1.96" Display, 1000 nits Brightness, Metal Body w/Premium Straps, 10-Days Battery Life, Smartwatch for Men &amp; Women (Deep Blue)</t>
  </si>
  <si>
    <t xml:space="preserve">https://www.amazon.in/boAt-Smartwatch-Display-Brightness-Premium/dp/B0H1J94XZN/ref=sr_1_25</t>
  </si>
  <si>
    <t xml:space="preserve">Other: MONKEYMAN</t>
  </si>
  <si>
    <t xml:space="preserve">B0FQ59KS4G</t>
  </si>
  <si>
    <t xml:space="preserve">MONKEYMAN ApeWatch Rampage Smartwatch – Waterproof | Blood Pressure Monitoring | 1.39″ AMOLED Display | Bluetooth Calling | 100+ Sports Modes | SpO2, Heart Rate &amp; 7-Day Battery</t>
  </si>
  <si>
    <t xml:space="preserve">https://www.amazon.in/dp/B0FQ59KS4G</t>
  </si>
  <si>
    <t xml:space="preserve">https://www.amazon.in/Fire-Boltt-Bluetooth-Calling-Smartwatch-Assistance/dp/B0F2Z2TRK9/ref=sr_1_28</t>
  </si>
  <si>
    <t xml:space="preserve">https://www.amazon.in/Noise-Launched-Bluetooth-Detection-Smartwatch/dp/B0CQRQK8L8/ref=sr_1_29</t>
  </si>
  <si>
    <t xml:space="preserve">B0GGHJJXCB</t>
  </si>
  <si>
    <t xml:space="preserve">Fire-Boltt Ninja Phantom Smart Watch 1.83” Display, Transparent Clear Body Design, Bluetooth Calling, 120+ Sports Modes, Voice Assistant, AI Outfit Watch Face Smartwatch for Men &amp; Women Stealth White</t>
  </si>
  <si>
    <t xml:space="preserve">https://www.amazon.in/dp/B0GGHJJXCB</t>
  </si>
  <si>
    <t xml:space="preserve">B0H2H9368L</t>
  </si>
  <si>
    <t xml:space="preserve">boAt Ultima Ember 2 Smartwatch, 1.96” AMOLED Display, Ultra Bright 1000 nits Brightness, AOD, Personalized Fitness Nudges, Functional Crown, 100+ Sports Mode smartwatch for Men &amp; Women (Velvet Wine)</t>
  </si>
  <si>
    <t xml:space="preserve">https://www.amazon.in/boAt-Smartwatch-Brightness-Personalized-Functional/dp/B0H2H9368L/ref=sr_1_32</t>
  </si>
  <si>
    <t xml:space="preserve">https://www.amazon.in/Fire-Boltt-Bluetooth-Wireless-Charging-Assistant/dp/B0F993RN8H/ref=sr_1_33</t>
  </si>
  <si>
    <t xml:space="preserve">B0H333ZQML</t>
  </si>
  <si>
    <t xml:space="preserve">GOBOULT Pyro Smartwatch 1.43'' AMOLED Screen, BT Calling 5.3, 600 Nits Brightness, IP68, 150+ Watchfaces, 120+ Sports Modes, AI Voice Assistant, SpO2 Monitoring (Graphite)</t>
  </si>
  <si>
    <t xml:space="preserve">https://www.amazon.in/GOBOULT-Smartwatch-Brightness-Watchfaces-Monitoring/dp/B0H333ZQML/ref=sr_1_35</t>
  </si>
  <si>
    <t xml:space="preserve">https://www.amazon.in/Fastrack-Resolution-SingleSync-Assistant-Smartwatch/dp/B0DDQCB71F/ref=sr_1_36</t>
  </si>
  <si>
    <t xml:space="preserve">https://www.amazon.in/Smartwatch-Bluetooth-Calculator-Waterproof-Wallpaper/dp/B0H9NYH8DW/ref=sr_1_37</t>
  </si>
  <si>
    <t xml:space="preserve">https://www.amazon.in/Fire-Boltt-Transparent-Bluetooth-Assistant-Smartwatch/dp/B0GGHG9CWT/ref=sr_1_38</t>
  </si>
  <si>
    <t xml:space="preserve">B0DSDYFT1P</t>
  </si>
  <si>
    <t xml:space="preserve">Fire-Boltt Rise Luxe Bluetooth Calling Smart Watch, 1.85”HD Display, AI Outfit Watch Face, 2 Looks in 1 Watch, Extra Straps at ₹99, 120+ Sports Modes, Metal Smartwatch for Men &amp; Women (Gold)</t>
  </si>
  <si>
    <t xml:space="preserve">https://www.amazon.in/Fire-Boltt-Stainless-Bluetooth-Rotating-Assistant/dp/B0DSDYFT1P/ref=sr_1_39</t>
  </si>
  <si>
    <t xml:space="preserve">boAt Ultima Ember smartwatch with 1.96” AMOLED Display, AOD, Personalized Fitness Nudges, Functional Crown,100+ Sports Modes, Create Your Own Watchface, smartwatch for man and Woman (Steel Black)</t>
  </si>
  <si>
    <t xml:space="preserve">https://www.amazon.in/boAt-Ultima-Ember-Smartwatch-Personalized/dp/B0DSFQ434R/ref=sr_1_40</t>
  </si>
  <si>
    <t xml:space="preserve">https://www.amazon.in/Fastrack-Display-Silicone-Calling-Smartwatch/dp/B0F5HNW218/ref=sr_1_41</t>
  </si>
  <si>
    <t xml:space="preserve">boat earbuds</t>
  </si>
  <si>
    <t xml:space="preserve">https://www.amazon.in/boAt-Airdopes-Pocketable-Controls-Bluetooth/dp/B0GZNHB218/ref=sr_1_3</t>
  </si>
  <si>
    <t xml:space="preserve">https://www.amazon.in/boAt-Airdopes-Bluetooth-Wireless-Earphones/dp/B0FC2Y3XGV/ref=sr_1_4</t>
  </si>
  <si>
    <t xml:space="preserve">B0CNRFYLV8</t>
  </si>
  <si>
    <t xml:space="preserve">https://www.amazon.in/boAt-Airdopes-163-Earbuds-Active/dp/B0CNRFYLV8/ref=sr_1_7</t>
  </si>
  <si>
    <t xml:space="preserve">https://www.amazon.in/Airdopes-141-Playtime-Resistance-Bluetooth/dp/B09N3ZNHTY/ref=sr_1_8</t>
  </si>
  <si>
    <t xml:space="preserve">https://www.amazon.in/boAt-Airdopes-Alpha-Wireless-Earbuds/dp/B0C3ZYFZ77/ref=sr_1_11</t>
  </si>
  <si>
    <t xml:space="preserve">https://www.amazon.in/boAt-Airdopes-Surround-AI-ENxTM-Bluetooth/dp/B0GZMYZW7R/ref=sr_1_12</t>
  </si>
  <si>
    <t xml:space="preserve">B0GXBG2MNF</t>
  </si>
  <si>
    <t xml:space="preserve">https://www.amazon.in/boAt-Airdopes-Immersive-Hearables-Assistant/dp/B0GXBG2MNF/ref=sr_1_13</t>
  </si>
  <si>
    <t xml:space="preserve">B0DZXTVL6V</t>
  </si>
  <si>
    <t xml:space="preserve">https://www.amazon.in/boAt-Airdopes-Bluetooth-Wireless-Earphones/dp/B0DZXTVL6V/ref=sr_1_14</t>
  </si>
  <si>
    <t xml:space="preserve">https://www.amazon.in/boAt-Nirvana-Playback-Technology-Detection/dp/B0BW8RVQ3V/ref=sr_1_15</t>
  </si>
  <si>
    <t xml:space="preserve">https://www.amazon.in/Airdopes-Battery-Bluetooth-Wireless-Earphones/dp/B0FL2SJTB2/ref=sr_1_16</t>
  </si>
  <si>
    <t xml:space="preserve">B0GZMYP6Y6</t>
  </si>
  <si>
    <t xml:space="preserve">₹1,130</t>
  </si>
  <si>
    <t xml:space="preserve">https://www.amazon.in/boAt-Airdopes-Pocketable-Controls-Bluetooth/dp/B0GZMYP6Y6/ref=sr_1_17</t>
  </si>
  <si>
    <t xml:space="preserve">B0FHHLMSW6</t>
  </si>
  <si>
    <t xml:space="preserve">https://www.amazon.in/boAt-Airdopes-Bluetooth-Wireless-Earphones/dp/B0FHHLMSW6/ref=sr_1_19</t>
  </si>
  <si>
    <t xml:space="preserve">https://www.amazon.in/boAt-Airdopes-101v2-Pitch-Black/dp/B0DXPNVSSB/ref=sr_1_21</t>
  </si>
  <si>
    <t xml:space="preserve">B0GXBJ3658</t>
  </si>
  <si>
    <t xml:space="preserve">https://www.amazon.in/boAt-Airdopes-Immersive-Hearables-Assistant/dp/B0GXBJ3658/ref=sr_1_22</t>
  </si>
  <si>
    <t xml:space="preserve">https://www.amazon.in/Airdopes-Drivers-Bluetooth-Wireless-Earphones/dp/B0FPLP7SMZ/ref=sr_1_20</t>
  </si>
  <si>
    <t xml:space="preserve">B0D3DK779N</t>
  </si>
  <si>
    <t xml:space="preserve">https://www.amazon.in/boAt-Airdopes-300-Experience-Multipoint/dp/B0D3DK779N/ref=sr_1_21</t>
  </si>
  <si>
    <t xml:space="preserve">https://www.amazon.in/dp/B0GCNNWM13</t>
  </si>
  <si>
    <t xml:space="preserve">https://www.amazon.in/dp/B0CYPZLV8C</t>
  </si>
  <si>
    <t xml:space="preserve">https://www.amazon.in/boAt-Nirvana-TWS-Bluetooth-Earphones/dp/B0DQKY3R84/ref=sr_1_24</t>
  </si>
  <si>
    <t xml:space="preserve">B0CZ417B2Q</t>
  </si>
  <si>
    <t xml:space="preserve">https://www.amazon.in/boAt-Airdopes-311-Pro-Transparent/dp/B0CZ417B2Q/ref=sr_1_25</t>
  </si>
  <si>
    <t xml:space="preserve">https://www.amazon.in/dp/B0FBR6HGXM</t>
  </si>
  <si>
    <t xml:space="preserve">https://www.amazon.in/boAt-Airdopes-121-Pro-Plus/dp/B0D49ZS9MT/ref=sr_1_28</t>
  </si>
  <si>
    <t xml:space="preserve">B0G2S1MZRX</t>
  </si>
  <si>
    <t xml:space="preserve">https://www.amazon.in/Nirvana-Feedback-Bluetooth-Wireless-Earphones/dp/B0G2S1MZRX/ref=sr_1_29</t>
  </si>
  <si>
    <t xml:space="preserve">B0GC5STRB9</t>
  </si>
  <si>
    <t xml:space="preserve">https://www.amazon.in/Boat-Airdopes-Earbuds-Cosmic-Black/dp/B0GC5STRB9/ref=sr_1_32</t>
  </si>
  <si>
    <t xml:space="preserve">B0GZNFM1CT</t>
  </si>
  <si>
    <t xml:space="preserve">https://www.amazon.in/boAt-Airdopes-ProClip-Conduction-Feather-Light/dp/B0GZNFM1CT/ref=sr_1_33</t>
  </si>
  <si>
    <t xml:space="preserve">https://www.amazon.in/boAt-Tracking-Bluetooth-Wireless-Earphones/dp/B0DBHBZZTN/ref=sr_1_34</t>
  </si>
  <si>
    <t xml:space="preserve">B0CRL6D5PH</t>
  </si>
  <si>
    <t xml:space="preserve">https://www.amazon.in/boAt-Immortal-100-Earbuds-Black/dp/B0CRL6D5PH/ref=sr_1_35</t>
  </si>
  <si>
    <t xml:space="preserve">B0D31QS9RH</t>
  </si>
  <si>
    <t xml:space="preserve">https://www.amazon.in/boAt-Airdopes-Ultra-Plus-Technology/dp/B0D31QS9RH/ref=sr_1_36</t>
  </si>
  <si>
    <t xml:space="preserve">B0DJ8KY3FT</t>
  </si>
  <si>
    <t xml:space="preserve">https://www.amazon.in/boAt-Airdopes-Loop-Conduction-Earphones/dp/B0DJ8KY3FT/ref=sr_1_37</t>
  </si>
  <si>
    <t xml:space="preserve">B0FM3N9DXH</t>
  </si>
  <si>
    <t xml:space="preserve">https://www.amazon.in/Airdopes-Multipoint-Connection-Bluetooth-Earphones/dp/B0FM3N9DXH/ref=sr_1_38</t>
  </si>
  <si>
    <t xml:space="preserve">B0DXP8JM1M</t>
  </si>
  <si>
    <t xml:space="preserve">https://www.amazon.in/boAt-Nirvana-Zenith-Pro-Bluetooth/dp/B0DXP8JM1M/ref=sr_1_39</t>
  </si>
  <si>
    <t xml:space="preserve">https://www.amazon.in/OnePlus-Playback-Translation-Dual-Device-Connectivity/dp/B0FMDL81GS/ref=sr_1_40</t>
  </si>
  <si>
    <t xml:space="preserve">B0DPWJYQK1</t>
  </si>
  <si>
    <t xml:space="preserve">https://www.amazon.in/boAt-Airdopes-Bluetooth-Wireless-Earphones/dp/B0DPWJYQK1/ref=sr_1_41</t>
  </si>
  <si>
    <t xml:space="preserve">boat smartwatch</t>
  </si>
  <si>
    <t xml:space="preserve">B0FBMFP94S</t>
  </si>
  <si>
    <t xml:space="preserve">https://www.amazon.in/dp/B0FBMFP94S</t>
  </si>
  <si>
    <t xml:space="preserve">https://www.amazon.in/dp/B0FBMDRLD2</t>
  </si>
  <si>
    <t xml:space="preserve">https://www.amazon.in/Smartwatch-Display-Animated-Functional-Multiple/dp/B0FLF44GTQ/ref=sr_1_3</t>
  </si>
  <si>
    <t xml:space="preserve">https://www.amazon.in/boAt-Smartwatch-Charging-Functional-Tracking/dp/B0GX9JK9SN/ref=sr_1_4</t>
  </si>
  <si>
    <t xml:space="preserve">https://www.amazon.in/dp/B0C497MSQN</t>
  </si>
  <si>
    <t xml:space="preserve">https://www.amazon.in/dp/B0DY7YPBJL</t>
  </si>
  <si>
    <t xml:space="preserve">https://www.amazon.in/Discovery-Metallic-Animated-Watchfaces-Bluetooth/dp/B0G1T2GZP9/ref=sr_1_7</t>
  </si>
  <si>
    <t xml:space="preserve">https://www.amazon.in/boAt-Lunar-Discovery-Navigation-Bluetooth/dp/B0DFYL4635/ref=sr_1_8</t>
  </si>
  <si>
    <t xml:space="preserve">B0DY7YGY4D</t>
  </si>
  <si>
    <t xml:space="preserve">https://www.amazon.in/dp/B0DY7YGY4D</t>
  </si>
  <si>
    <t xml:space="preserve">https://www.amazon.in/boAt-Navigation-Display-Bluetooth-Emergency/dp/B0CVQG14RR/ref=sr_1_11</t>
  </si>
  <si>
    <t xml:space="preserve">B0DZ2PDXLS</t>
  </si>
  <si>
    <t xml:space="preserve">https://www.amazon.in/boAt-Infinity-Extensive-Battery-Functional/dp/B0DZ2PDXLS/ref=sr_1_12</t>
  </si>
  <si>
    <t xml:space="preserve">https://www.amazon.in/boAt-Smartwatch-Brightness-Personalized-Functional/dp/B0H2H9368L/ref=sr_1_13</t>
  </si>
  <si>
    <t xml:space="preserve">B0GX9HWLBF</t>
  </si>
  <si>
    <t xml:space="preserve">https://www.amazon.in/boAt-Smartwatch-Charging-Functional-Tracking/dp/B0GX9HWLBF/ref=sr_1_14</t>
  </si>
  <si>
    <t xml:space="preserve">https://www.amazon.in/boAt-Advanced-Bluetooth-Functional-Monitoring/dp/B0CF1NTL6M/ref=sr_1_15</t>
  </si>
  <si>
    <t xml:space="preserve">B0GPDNKWQ3</t>
  </si>
  <si>
    <t xml:space="preserve">https://www.amazon.in/boAt-Smartwatch-Immersive-Functional-Monitoring/dp/B0GPDNKWQ3/ref=sr_1_16</t>
  </si>
  <si>
    <t xml:space="preserve">B0GPDRBMS6</t>
  </si>
  <si>
    <t xml:space="preserve">https://www.amazon.in/boAt-Smartwatch-Immersive-Functional-Monitoring/dp/B0GPDRBMS6/ref=sr_1_17</t>
  </si>
  <si>
    <t xml:space="preserve">https://www.amazon.in/boAt-smartwatch-Display-Personalized-Functional/dp/B0DSFQ2RLV/ref=sr_1_18</t>
  </si>
  <si>
    <t xml:space="preserve">B0DSFS2LLC</t>
  </si>
  <si>
    <t xml:space="preserve">https://www.amazon.in/boAt-Ultima-Ember-Smartwatch-Personalized/dp/B0DSFS2LLC/ref=sr_1_19</t>
  </si>
  <si>
    <t xml:space="preserve">B0DMF4LP99</t>
  </si>
  <si>
    <t xml:space="preserve">https://www.amazon.in/boAt-Wave-Call-Plus-Bilingual/dp/B0DMF4LP99/ref=sr_1_20</t>
  </si>
  <si>
    <t xml:space="preserve">B0F3DKH55N</t>
  </si>
  <si>
    <t xml:space="preserve">https://www.amazon.in/boAt-Display-Advanced-Functional-Multiple/dp/B0F3DKH55N/ref=sr_1_21</t>
  </si>
  <si>
    <t xml:space="preserve">https://www.amazon.in/boAt-Smartwatch-Display-Brightness-Premium/dp/B0H1J5QHXG/ref=sr_1_22</t>
  </si>
  <si>
    <t xml:space="preserve">B0BF57RN3K</t>
  </si>
  <si>
    <t xml:space="preserve">https://www.amazon.in/dp/B0BF57RN3K</t>
  </si>
  <si>
    <t xml:space="preserve">B0DBLX3R5H</t>
  </si>
  <si>
    <t xml:space="preserve">https://www.amazon.in/boAt-Storm-Call-Navigation-Activity/dp/B0DBLX3R5H/ref=sr_1_20</t>
  </si>
  <si>
    <t xml:space="preserve">B0FLY7TMJD</t>
  </si>
  <si>
    <t xml:space="preserve">₹4,299</t>
  </si>
  <si>
    <t xml:space="preserve">https://www.amazon.in/dp/B0FLY7TMJD</t>
  </si>
  <si>
    <t xml:space="preserve">B0GHS5RWPW</t>
  </si>
  <si>
    <t xml:space="preserve">https://www.amazon.in/dp/B0GHS5RWPW</t>
  </si>
  <si>
    <t xml:space="preserve">B0D83BPRYP</t>
  </si>
  <si>
    <t xml:space="preserve">https://www.amazon.in/boAt-Wanderer-Restrict-Parental-Controls/dp/B0D83BPRYP/ref=sr_1_24</t>
  </si>
  <si>
    <t xml:space="preserve">B0G4MB69F5</t>
  </si>
  <si>
    <t xml:space="preserve">https://www.amazon.in/AuraVue-Display-Brightness-Premium-Bluetooth/dp/B0G4MB69F5/ref=sr_1_25</t>
  </si>
  <si>
    <t xml:space="preserve">B0F4955HLQ</t>
  </si>
  <si>
    <t xml:space="preserve">https://www.amazon.in/dp/B0F4955HLQ</t>
  </si>
  <si>
    <t xml:space="preserve">B0DFLNMPK7</t>
  </si>
  <si>
    <t xml:space="preserve">https://www.amazon.in/boAt-Ultima-Regal-Crystal-Clear-Brightness/dp/B0DFLNMPK7/ref=sr_1_28</t>
  </si>
  <si>
    <t xml:space="preserve">B0FBMGK45T</t>
  </si>
  <si>
    <t xml:space="preserve">https://www.amazon.in/dp/B0FBMGK45T</t>
  </si>
  <si>
    <t xml:space="preserve">B0D4M3NSV9</t>
  </si>
  <si>
    <t xml:space="preserve">https://www.amazon.in/boAt-Wave-Fortune-Bluetooth-Assistant/dp/B0D4M3NSV9/ref=sr_1_32</t>
  </si>
  <si>
    <t xml:space="preserve">https://www.amazon.in/Discovery-Emergency-Functional-Multiple-Tracking/dp/B0FLK54XSP/ref=sr_1_33</t>
  </si>
  <si>
    <t xml:space="preserve">B0DBLZLKPG</t>
  </si>
  <si>
    <t xml:space="preserve">https://www.amazon.in/boAt-Navigation-Activity-Tracker-Display/dp/B0DBLZLKPG/ref=sr_1_34</t>
  </si>
  <si>
    <t xml:space="preserve">B0GSQVC7BR</t>
  </si>
  <si>
    <t xml:space="preserve">https://www.amazon.in/boAt-Smartwatch-Monitoring-Geofencing-Compatible/dp/B0GSQVC7BR/ref=sr_1_35</t>
  </si>
  <si>
    <t xml:space="preserve">B0BF54LXW6</t>
  </si>
  <si>
    <t xml:space="preserve">https://www.amazon.in/Fire-Boltt-Bluetooth-Calling-Assistance-Resolution/dp/B0BF54LXW6/ref=sr_1_36</t>
  </si>
  <si>
    <t xml:space="preserve">https://www.amazon.in/boAt-Auto-Activity-Detection-Advanced-Bluetooth/dp/B0F493G266/ref=sr_1_37</t>
  </si>
  <si>
    <t xml:space="preserve">B0DFYJWSS7</t>
  </si>
  <si>
    <t xml:space="preserve">https://www.amazon.in/boAt-Display-Emergency-Location-Sharing/dp/B0DFYJWSS7/ref=sr_1_38</t>
  </si>
  <si>
    <t xml:space="preserve">B0GPDP7WQD</t>
  </si>
  <si>
    <t xml:space="preserve">https://www.amazon.in/boAt-Brightness-Monitoring-Tracking-Smartwatch/dp/B0GPDP7WQD/ref=sr_1_39</t>
  </si>
  <si>
    <t xml:space="preserve">B0GHRVD5LJ</t>
  </si>
  <si>
    <t xml:space="preserve">https://www.amazon.in/boAt-co-Designed-Brightness-Metallic-smartwatch/dp/B0GHRVD5LJ/ref=sr_1_40</t>
  </si>
  <si>
    <t xml:space="preserve">https://www.amazon.in/boAt-Metallic-Tracking-Bluetooth-Emergency/dp/B0H5QGRDX8/ref=sr_1_41</t>
  </si>
  <si>
    <t xml:space="preserve">noise earbuds</t>
  </si>
  <si>
    <t xml:space="preserve">Noise Master Buds 2 with Sound by Bose Truly Wireless Earbuds (2026),51dB Adaptive ANC, Hi-Res LHDC Audio,360° Spatial Audio with Head Tracking, 6-mic ENC, Dual Pairing, Fast Charge &amp; BT v6.1 (Aurum)</t>
  </si>
  <si>
    <t xml:space="preserve">https://www.amazon.in/Noise-Launched-Wireless-Playtime-Instacharge/dp/B0CQJWMMG7/ref=sr_1_3</t>
  </si>
  <si>
    <t xml:space="preserve">B09Y5MK1KB</t>
  </si>
  <si>
    <t xml:space="preserve">Noise Buds VS104 Truly Wireless Earbuds with 45H of Playtime, Quad Mic with ENC, Instacharge(10 Min=200 Min), 13Mm Driver, Low Latency, BT V5.2 (Mint Green)</t>
  </si>
  <si>
    <t xml:space="preserve">https://www.amazon.in/Noise-Bluetooth-Wireless-30-Hours-Instacharge/dp/B09Y5MK1KB/ref=sr_1_4</t>
  </si>
  <si>
    <t xml:space="preserve">B0DGV6RP7C</t>
  </si>
  <si>
    <t xml:space="preserve">Noise Air Clips Wireless Open Ear Earbuds with Chrome Finish, AirWave™ Technology,Up-to 40H Playtime, Dual Device Pairing, Quad Mic with ENC,12mm Driver,BTv5.4 (Pearl Purple)</t>
  </si>
  <si>
    <t xml:space="preserve">https://www.amazon.in/dp/B0DGV6RP7C</t>
  </si>
  <si>
    <t xml:space="preserve">https://www.amazon.in/Noise-Wireless-Bluetooth-Playtime-Instacharge/dp/B0DS2XNXZB/ref=sr_1_7</t>
  </si>
  <si>
    <t xml:space="preserve">https://www.amazon.in/Noise-Wireless-Earbuds-Playtime-Resistant/dp/B0GCNML31G/ref=sr_1_8</t>
  </si>
  <si>
    <t xml:space="preserve">B0FZ9T5JBR</t>
  </si>
  <si>
    <t xml:space="preserve">Noise Newly Launch Buds Play Truly Wireless Earbuds with 40H of Playtime, Quad Mic with ENC, Low Latency for Gaming (Up to 50 Ms), 13mm Driver, BT V6.0(Charcoal Black)</t>
  </si>
  <si>
    <t xml:space="preserve">https://www.amazon.in/Noise-Wireless-Earbuds-Playtime-Charcoal/dp/B0FZ9T5JBR/ref=sr_1_11</t>
  </si>
  <si>
    <t xml:space="preserve">Noise Buds Mini Truly Wireless Earbuds (2026) | Half in-Ear Design | 40H Playtime | Quad Mic ENC for Clear Calls | 13mm Driver | Low Latency Gaming Mode | BT v5.3 | IPX4 Sweat Resistant - Jet Black</t>
  </si>
  <si>
    <t xml:space="preserve">https://www.amazon.in/Noise-Wireless-Earbuds-Playtime-Resistant/dp/B0GCNNWM13/ref=sr_1_12</t>
  </si>
  <si>
    <t xml:space="preserve">https://www.amazon.in/Noise-Wireless-Metallic-Playtime-Instacharge/dp/B0D4QLT8WG/ref=sr_1_13</t>
  </si>
  <si>
    <t xml:space="preserve">Noise Buds VS104 Truly Wireless Earbuds with 45H of Playtime, Quad Mic with ENC, Instacharge(10 Min=200 Min), 13Mm Driver, Low Latency, BT V5.2 (Midnight Blue)</t>
  </si>
  <si>
    <t xml:space="preserve">https://www.amazon.in/Noise-Wireless-Bluetooth-30-Hours-Instacharge/dp/B09Y5LL6P4/ref=sr_1_14</t>
  </si>
  <si>
    <t xml:space="preserve">https://www.amazon.in/Noise-Wireless-Earbuds-Playtime-Resistant/dp/B0GCNK81FR/ref=sr_1_15</t>
  </si>
  <si>
    <t xml:space="preserve">B0FHW8KKN9</t>
  </si>
  <si>
    <t xml:space="preserve">Noise Newly Launched Buds VS601 in Ear Truly Wireless Earbuds with 50H of Playtime, Transparent Case Lid, Quad Mic ENC, Dual Device Pairing, 10Mm Driver, BT V5.3 (Graphite Black)</t>
  </si>
  <si>
    <t xml:space="preserve">https://www.amazon.in/Noise-Launched-Wireless-Playtime-Transparent/dp/B0FHW8KKN9/ref=sr_1_17</t>
  </si>
  <si>
    <t xml:space="preserve">B0FZ9Y2RJN</t>
  </si>
  <si>
    <t xml:space="preserve">Noise Newly Launch Buds Play Truly Wireless Earbuds with 40H of Playtime, Quad Mic with ENC, Low Latency for Gaming (Up to 50 Ms), 13mm Driver, BT V6.0(Blush Pink)</t>
  </si>
  <si>
    <t xml:space="preserve">https://www.amazon.in/Noise-Wireless-Earbuds-Playtime-Latency/dp/B0FZ9Y2RJN/ref=sr_1_18</t>
  </si>
  <si>
    <t xml:space="preserve">B0DS2WS827</t>
  </si>
  <si>
    <t xml:space="preserve">Noise Buds Trance in-Ear Truly Wireless Earbuds with 45H of Playtime, Low Latency(up to 40 ms), Instacharge(10 min=200 min), BT v5.3(True Blue)</t>
  </si>
  <si>
    <t xml:space="preserve">https://www.amazon.in/Noise-Wireless-Earbuds-Playtime-Instacharge/dp/B0DS2WS827/ref=sr_1_19</t>
  </si>
  <si>
    <t xml:space="preserve">https://www.amazon.in/Noise-Launched-Wireless-Playtime-Instacharge/dp/B0FN7J4997/ref=sr_1_20</t>
  </si>
  <si>
    <t xml:space="preserve">B0CYPYNNVT</t>
  </si>
  <si>
    <t xml:space="preserve">Noise Pop Buds Truly Wireless Earbuds with 50H of Playtime, Quad Mic with ENC, Instacharge(10 Min=150 Min) Bluetooth V5.3(Moon Pop) True Wireless</t>
  </si>
  <si>
    <t xml:space="preserve">₹1,023</t>
  </si>
  <si>
    <t xml:space="preserve">https://www.amazon.in/Noise-Truly-Wireless-Bluetooth-Earbuds/dp/B0CYPYNNVT/ref=sr_1_21</t>
  </si>
  <si>
    <t xml:space="preserve">https://www.amazon.in/Noise-Launched-Wireless-Earbuds-Playtime/dp/B0GSZV3415/ref=sr_1_22</t>
  </si>
  <si>
    <t xml:space="preserve">https://www.amazon.in/Noise-Launched-Wireless-Instacharge-Composite/dp/B0CFYB2154/ref=sr_1_20</t>
  </si>
  <si>
    <t xml:space="preserve">https://www.amazon.in/Noise-Truly-Wireless-Bluetooth-Earbuds/dp/B0DNZTC6K7/ref=sr_1_21</t>
  </si>
  <si>
    <t xml:space="preserve">B0FHW8RKCN</t>
  </si>
  <si>
    <t xml:space="preserve">Noise Buds VS601 Wireless Earbuds, Bluetooth Earbuds with 50H Playtime, Quad Mic ENC for Clear Calls, 10mm Drivers, Dual Device Pairing, Transparent Case Design, Deep Bass, BT v5.3 (Silver Grey)</t>
  </si>
  <si>
    <t xml:space="preserve">https://www.amazon.in/dp/B0FHW8RKCN</t>
  </si>
  <si>
    <t xml:space="preserve">B0DGV5F9V4</t>
  </si>
  <si>
    <t xml:space="preserve">Noise Air Clips Wireless Open Ear Earbuds with Chrome Finish, AirWave™ Technology,Up-to 40H Playtime, Dual Device Pairing, Quad Mic with ENC,12mm Driver,BTv5.4 (Pearl White)</t>
  </si>
  <si>
    <t xml:space="preserve">https://www.amazon.in/dp/B0DGV5F9V4</t>
  </si>
  <si>
    <t xml:space="preserve">B0GWD68R5S</t>
  </si>
  <si>
    <t xml:space="preserve">Noise Newly Launch ALT Buds(S) Truly Wireless Earbuds with 45H of Playtime, Quad Mic with ENC, App Support, Instacharge, Dual Pairing, Low Latency for Gaming, 11mm Driver, BT V6.0 (Chosen Blue)</t>
  </si>
  <si>
    <t xml:space="preserve">https://www.amazon.in/Noise-Wireless-Earbuds-Playtime-Instacharge/dp/B0GWD68R5S/ref=sr_1_24</t>
  </si>
  <si>
    <t xml:space="preserve">B0GWDGNJC9</t>
  </si>
  <si>
    <t xml:space="preserve">Noise Alt Buds Open Wireless Open-Ear Earbuds (2026), Red Dot Award-Winning Design, Hi-Res LHDC Audio, AI-Powered, Quad Mic ENC, App Support, Up to 35H Playtime, Bluetooth v6.0 (Chosen Black)</t>
  </si>
  <si>
    <t xml:space="preserve">https://www.amazon.in/Noise-Wireless-Award-Winning-AI-Powered-Bluetooth/dp/B0GWDGNJC9/ref=sr_1_25</t>
  </si>
  <si>
    <t xml:space="preserve">Noise Master Buds 2 with Sound by Bose (2026),51dB Adaptive ANC, Hi-Res LHDC Audio,360° Spatial Audio with Head Tracking, 6-mic ENC, Dual Pairing, Noise AI &amp; BT v6.1 (Mercury)</t>
  </si>
  <si>
    <t xml:space="preserve">B09Y5N4M7Z</t>
  </si>
  <si>
    <t xml:space="preserve">Noise Buds VS104 Truly Wireless Earbuds with 45H of Playtime, Quad Mic with ENC, Instacharge(10 Min=200 Min), 13Mm Driver, Low Latency, BT V5.2 (Snow White)</t>
  </si>
  <si>
    <t xml:space="preserve">https://www.amazon.in/Noise-Bluetooth-Wireless-30-Hours-Instacharge/dp/B09Y5N4M7Z/ref=sr_1_28</t>
  </si>
  <si>
    <t xml:space="preserve">https://www.amazon.in/Noise-Spatial-Playtime-Instacharge-Metallic/dp/B0GWD513TF/ref=sr_1_29</t>
  </si>
  <si>
    <t xml:space="preserve">https://www.amazon.in/dp/B0G2GGLTMF</t>
  </si>
  <si>
    <t xml:space="preserve">B0GWD96NDL</t>
  </si>
  <si>
    <t xml:space="preserve">Noise Alt Clip Wireless Open-Earbuds (2026), Hi-Res LHDC Audio, AI-Powered, App Support, Up to 28H Playtime, Secure Clip Design, Quad mic ENC, BTv6.0 (Chosen Blue Light)</t>
  </si>
  <si>
    <t xml:space="preserve">https://www.amazon.in/Noise-Wireless-Open-Earbuds-AI-Powered-Playtime/dp/B0GWD96NDL/ref=sr_1_32</t>
  </si>
  <si>
    <t xml:space="preserve">https://www.amazon.in/OnePlus-Playback-Translation-Dual-Device-Connectivity/dp/B0FMDL81GS/ref=sr_1_33</t>
  </si>
  <si>
    <t xml:space="preserve">B0G39WPJMS</t>
  </si>
  <si>
    <t xml:space="preserve">Noise Air Clips Pro Wireless Open-Ear Earbuds (2026), C-Bridge Clip Design, 360° Spatial Audio, AirWave™ Tech, AI Sound, 50H Playtime, Quad Mic ENC, BT v6.0 (Orbit Silver)</t>
  </si>
  <si>
    <t xml:space="preserve">https://www.amazon.in/Noise-Wireless-Open-Ear-C-Bridge-AirWaveTM/dp/B0G39WPJMS/ref=sr_1_34</t>
  </si>
  <si>
    <t xml:space="preserve">B0CYPZ6RPK</t>
  </si>
  <si>
    <t xml:space="preserve">Noise Buds Verve 2 in-Ear Truly Wireless Earbuds with Chrome Finish, 50H of Playtime, Quad Mic with ENC, 13mm Driver, Instacharge(10 min=200 min), BT v5.3(Forest Green)</t>
  </si>
  <si>
    <t xml:space="preserve">https://www.amazon.in/Noise-Launched-Wireless-Playtime-Instacharge/dp/B0CYPZ6RPK/ref=sr_1_35</t>
  </si>
  <si>
    <t xml:space="preserve">https://www.amazon.in/Noise-Launched-Connect-Wireless-Playtime/dp/B0FZ9YLWP1/ref=sr_1_37</t>
  </si>
  <si>
    <t xml:space="preserve">B0C23MGYWM</t>
  </si>
  <si>
    <t xml:space="preserve">Noise Buds VS201 V3 in-Ear Truly Wireless Earbuds with 60H of Playtime, Dual Equalizer, Full Touch Control, Mic, BTv5.1 (Matte Black)</t>
  </si>
  <si>
    <t xml:space="preserve">₹979</t>
  </si>
  <si>
    <t xml:space="preserve">https://www.amazon.in/Noise-Wireless-Earbuds-Playtime-Equalizer/dp/B0C23MGYWM/ref=sr_1_38</t>
  </si>
  <si>
    <t xml:space="preserve">https://www.amazon.in/HAMMER-Playtime-Assistant-Lightweight-Dual-Tone/dp/B0GDTRYXYF/ref=sr_1_39</t>
  </si>
  <si>
    <t xml:space="preserve">https://www.amazon.in/boAt-Airdopes-Pocketable-Controls-Bluetooth/dp/B0GZNHB218/ref=sr_1_40</t>
  </si>
  <si>
    <t xml:space="preserve">https://www.amazon.in/realme-Wireless-Earbuds-Dynamic-Playback/dp/B0FBR6HGXM/ref=sr_1_41</t>
  </si>
  <si>
    <t xml:space="preserve">noise smartwatch</t>
  </si>
  <si>
    <t xml:space="preserve">B0D7QK57R7</t>
  </si>
  <si>
    <t xml:space="preserve">https://www.amazon.in/dp/B0D7QK57R7</t>
  </si>
  <si>
    <t xml:space="preserve">https://www.amazon.in/Noise-Launched-Bluetooth-Calling-Tracking/dp/B0BJ72WZQ7/ref=sr_1_3</t>
  </si>
  <si>
    <t xml:space="preserve">https://www.amazon.in/Noise-Advanced-Bluetooth-Brightness-Smartwatch/dp/B0B6BLTGTT/ref=sr_1_4</t>
  </si>
  <si>
    <t xml:space="preserve">https://www.amazon.in/Noise-Launched-Bluetooth-Detection-Smartwatch/dp/B0CQRQK8L8/ref=sr_1_7</t>
  </si>
  <si>
    <t xml:space="preserve">https://www.amazon.in/Noise-Display-Functional-Premium-Metallic/dp/B0D6GK2871/ref=sr_1_8</t>
  </si>
  <si>
    <t xml:space="preserve">https://www.amazon.in/dp/B0DSF243J4</t>
  </si>
  <si>
    <t xml:space="preserve">B0GT5FZQ6Y</t>
  </si>
  <si>
    <t xml:space="preserve">https://www.amazon.in/dp/B0GT5FZQ6Y</t>
  </si>
  <si>
    <t xml:space="preserve">https://www.amazon.in/Noise-Launched-Bluetooth-Assistance-Metallic/dp/B0BW4BFBD5/ref=sr_1_11</t>
  </si>
  <si>
    <t xml:space="preserve">B0FLF41YJ4</t>
  </si>
  <si>
    <t xml:space="preserve">https://www.amazon.in/Smartwatch-Display-Animated-Functional-Multiple/dp/B0FLF41YJ4/ref=sr_1_13</t>
  </si>
  <si>
    <t xml:space="preserve">https://www.amazon.in/Noise-Vibrant-Bluetooth-Metallic-Assistance/dp/B0DNQQ67JY/ref=sr_1_14</t>
  </si>
  <si>
    <t xml:space="preserve">B0F4RH8CHC</t>
  </si>
  <si>
    <t xml:space="preserve">https://www.amazon.in/Noise-ColorFit-Icon-Smartwatch-Starlight/dp/B0F4RH8CHC/ref=sr_1_15</t>
  </si>
  <si>
    <t xml:space="preserve">B0FPCZ6Q8Y</t>
  </si>
  <si>
    <t xml:space="preserve">https://www.amazon.in/Noise-Display-TruSync%E1%B5%80%E1%B4%B9-Tracking-Midnight/dp/B0FPCZ6Q8Y/ref=sr_1_16</t>
  </si>
  <si>
    <t xml:space="preserve">B0GMK9KF8Z</t>
  </si>
  <si>
    <t xml:space="preserve">https://www.amazon.in/Noise-Bluetooth-Calling-Display-Tracking/dp/B0GMK9KF8Z/ref=sr_1_17</t>
  </si>
  <si>
    <t xml:space="preserve">B0F4RHPQPN</t>
  </si>
  <si>
    <t xml:space="preserve">https://www.amazon.in/Noise-Immersive-Smartwatch-Resistant-Functional/dp/B0F4RHPQPN/ref=sr_1_18</t>
  </si>
  <si>
    <t xml:space="preserve">B0FQV97BWX</t>
  </si>
  <si>
    <t xml:space="preserve">₹5,499</t>
  </si>
  <si>
    <t xml:space="preserve">https://www.amazon.in/Noise-NoiseFit-Halo-Smartwatch-Elite/dp/B0FQV97BWX/ref=sr_1_19</t>
  </si>
  <si>
    <t xml:space="preserve">B0B5LWP12T</t>
  </si>
  <si>
    <t xml:space="preserve">https://www.amazon.in/Noise-Bluetooth-Tracking-Detection-Midnight/dp/B0B5LWP12T/ref=sr_1_20</t>
  </si>
  <si>
    <t xml:space="preserve">B0FC6CGZTP</t>
  </si>
  <si>
    <t xml:space="preserve">https://www.amazon.in/Noise-Compatible-Geofencing-Monitoring-Emergency/dp/B0FC6CGZTP/ref=sr_1_21</t>
  </si>
  <si>
    <t xml:space="preserve">https://www.amazon.in/NoiseFit-Bluetooth-Functional-Assistance-Tracker/dp/B0BMVRPGH5/ref=sr_1_22</t>
  </si>
  <si>
    <t xml:space="preserve">B0BF4YBLPX</t>
  </si>
  <si>
    <t xml:space="preserve">https://www.amazon.in/Fire-Boltt-Bluetooth-Calling-Assistance-Resolution/dp/B0BF4YBLPX/ref=sr_1_20</t>
  </si>
  <si>
    <t xml:space="preserve">https://www.amazon.in/NoiseFit-Display-Bluetooth-Calling-Metallic/dp/B0BNNC7R2W/ref=sr_1_21</t>
  </si>
  <si>
    <t xml:space="preserve">https://www.amazon.in/Noise-Launched-Endeavour-Display-Calling/dp/B0CG1T39PB/ref=sr_1_24</t>
  </si>
  <si>
    <t xml:space="preserve">B0C4Q5HNMH</t>
  </si>
  <si>
    <t xml:space="preserve">https://www.amazon.in/Noise-Display-Bluetooth-Calling-Stainless/dp/B0C4Q5HNMH/ref=sr_1_25</t>
  </si>
  <si>
    <t xml:space="preserve">B0D4Q7CH4M</t>
  </si>
  <si>
    <t xml:space="preserve">https://www.amazon.in/dp/B0D4Q7CH4M</t>
  </si>
  <si>
    <t xml:space="preserve">B0FC69FZ5N</t>
  </si>
  <si>
    <t xml:space="preserve">https://www.amazon.in/Noise-Switchable-Bumpers-Learning-Parental/dp/B0FC69FZ5N/ref=sr_1_29</t>
  </si>
  <si>
    <t xml:space="preserve">https://www.amazon.in/dp/B0G61HJYR3</t>
  </si>
  <si>
    <t xml:space="preserve">https://www.amazon.in/Noise-Smartwatch-Diamond-Metallic-Display/dp/B0C5X2JV72/ref=sr_1_32</t>
  </si>
  <si>
    <t xml:space="preserve">https://www.amazon.in/Noise-Smartwatch-Tracking-Temperature-Location/dp/B0FWCRMYGT/ref=sr_1_34</t>
  </si>
  <si>
    <t xml:space="preserve">B0DT9ZPRRB</t>
  </si>
  <si>
    <t xml:space="preserve">https://www.amazon.in/Fire-Boltt-Stainless-Bluetooth-Assistant-Monitoring/dp/B0DT9ZPRRB/ref=sr_1_35</t>
  </si>
  <si>
    <t xml:space="preserve">https://www.amazon.in/Noise-Biggest-personalization-Productivity-Rosegold/dp/B0CFYP7XR3/ref=sr_1_36</t>
  </si>
  <si>
    <t xml:space="preserve">Other: Bouncefit</t>
  </si>
  <si>
    <t xml:space="preserve">B0C6F3Z5Y1</t>
  </si>
  <si>
    <t xml:space="preserve">Bouncefit</t>
  </si>
  <si>
    <t xml:space="preserve">₹396</t>
  </si>
  <si>
    <t xml:space="preserve">https://www.amazon.in/Bouncefit-D20-Fitness-Band-Smartwatch/dp/B0C6F3Z5Y1/ref=sr_1_37</t>
  </si>
  <si>
    <t xml:space="preserve">https://www.amazon.in/Noise-Original-Watch-ColorFit-Smartwatches/dp/B0H83PPKPD/ref=sr_1_38</t>
  </si>
  <si>
    <t xml:space="preserve">https://www.amazon.in/iTronix-Replacement-ColorFit-NoiseFit-Smartwatches/dp/B09HN6QB25/ref=sr_1_39</t>
  </si>
  <si>
    <t xml:space="preserve">B0BGRQTVXY</t>
  </si>
  <si>
    <t xml:space="preserve">(Pack of 02 Premium Ultra Clear &amp; Flexible TPU Screen Protector for Noise Pulse 2 Max Smartwatch</t>
  </si>
  <si>
    <t xml:space="preserve">₹146</t>
  </si>
  <si>
    <t xml:space="preserve">https://www.amazon.in/beautss-Premium-Flexible-Protector-Smartwatch/dp/B0BGRQTVXY/ref=sr_1_40</t>
  </si>
  <si>
    <t xml:space="preserve">B0BJC66JCC</t>
  </si>
  <si>
    <t xml:space="preserve">Strapy 19mm Soft Silicone Strap Band for Noise Colorfit Beat Smartwatch Only, Looks Classic for Men Women (This Item is only Strap Band)</t>
  </si>
  <si>
    <t xml:space="preserve">https://www.amazon.in/Strapy-Silicone-Colorfit-Smartwatch-Classic/dp/B0BJC66JCC/ref=sr_1_41</t>
  </si>
  <si>
    <t xml:space="preserve">boAt vs Noise Amazon.in Ads Audit -- Summary</t>
  </si>
  <si>
    <t xml:space="preserve">Run totals</t>
  </si>
  <si>
    <t xml:space="preserve">Metric</t>
  </si>
  <si>
    <t xml:space="preserve">Value</t>
  </si>
  <si>
    <t xml:space="preserve">Total rows scraped</t>
  </si>
  <si>
    <t xml:space="preserve">Total sponsored slots</t>
  </si>
  <si>
    <t xml:space="preserve">Page 1 rows</t>
  </si>
  <si>
    <t xml:space="preserve">Page 2 rows</t>
  </si>
  <si>
    <t xml:space="preserve">Avg. sponsored position -- boAt</t>
  </si>
  <si>
    <t xml:space="preserve">Avg. sponsored position -- Noise</t>
  </si>
  <si>
    <t xml:space="preserve">Sponsored share-of-voice by brand (all 16 keywords combined)</t>
  </si>
  <si>
    <t xml:space="preserve">Brand</t>
  </si>
  <si>
    <t xml:space="preserve">Sponsored slots</t>
  </si>
  <si>
    <t xml:space="preserve">% of sponsored</t>
  </si>
  <si>
    <t xml:space="preserve">SKU-level conquesting: competitor sponsored ads on each SKU's own name search</t>
  </si>
  <si>
    <t xml:space="preserve">("conquesting" = a sponsored ad from a brand other than the SKU's own, on that exact SKU's name search)</t>
  </si>
  <si>
    <t xml:space="preserve">SKU search (keyword)</t>
  </si>
  <si>
    <t xml:space="preserve">Competitor brand</t>
  </si>
  <si>
    <t xml:space="preserve">Sponsored slots taken</t>
  </si>
  <si>
    <t xml:space="preserve">(none found)</t>
  </si>
  <si>
    <t xml:space="preserve">Brand-level conquesting: competitor sponsored ads on the OTHER brand's name search (generic, not SKU-specific)</t>
  </si>
  <si>
    <t xml:space="preserve">Keyword</t>
  </si>
  <si>
    <t xml:space="preserve">See the Read Me tab for what position/page/brand/matched_sku mean and how to use this table.</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</si>
</sst>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2"/>
      <color rgb="FF1F2937"/>
      <name val="Arial"/>
      <family val="0"/>
      <charset val="1"/>
    </font>
    <font>
      <sz val="10"/>
      <name val="Arial"/>
      <family val="0"/>
      <charset val="1"/>
    </font>
    <font>
      <b val="true"/>
      <sz val="10"/>
      <name val="Arial"/>
      <family val="0"/>
      <charset val="1"/>
    </font>
    <font>
      <b val="true"/>
      <sz val="11"/>
      <color rgb="FFFFFFFF"/>
      <name val="Arial"/>
      <family val="0"/>
      <charset val="1"/>
    </font>
    <font>
      <u val="single"/>
      <sz val="10"/>
      <color rgb="FF1D4ED8"/>
      <name val="Arial"/>
      <family val="0"/>
      <charset val="1"/>
    </font>
    <font>
      <i val="true"/>
      <sz val="9"/>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D4ED8"/>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AdsData" displayName="AdsData" ref="A1:J667" headerRowCount="1" totalsRowCount="0" totalsRowShown="0">
  <autoFilter ref="A1:J667"/>
  <tableColumns count="10">
    <tableColumn id="1" name="keyword"/>
    <tableColumn id="2" name="position"/>
    <tableColumn id="3" name="page"/>
    <tableColumn id="4" name="is_sponsored"/>
    <tableColumn id="5" name="brand"/>
    <tableColumn id="6" name="matched_sku"/>
    <tableColumn id="7" name="asin"/>
    <tableColumn id="8" name="title"/>
    <tableColumn id="9" name="price"/>
    <tableColumn id="10" name="product_ur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mazon.in/dp/B0DBGP48NW" TargetMode="External"/><Relationship Id="rId2" Type="http://schemas.openxmlformats.org/officeDocument/2006/relationships/hyperlink" Target="https://www.amazon.in/dp/B0BW8TXJJ2" TargetMode="External"/><Relationship Id="rId3" Type="http://schemas.openxmlformats.org/officeDocument/2006/relationships/hyperlink" Target="https://www.amazon.in/boAt-Nirvana-Ion-ANC-Cancellation/dp/B0CF5QFH77/ref=sr_1_3" TargetMode="External"/><Relationship Id="rId4" Type="http://schemas.openxmlformats.org/officeDocument/2006/relationships/hyperlink" Target="https://www.amazon.in/Nirvana-Battery-Bluetooth-Wireless-Earphones/dp/B0FP9DP8FH/ref=sr_1_4" TargetMode="External"/><Relationship Id="rId5" Type="http://schemas.openxmlformats.org/officeDocument/2006/relationships/hyperlink" Target="https://www.amazon.in/dp/B0DS2Y94LS" TargetMode="External"/><Relationship Id="rId6" Type="http://schemas.openxmlformats.org/officeDocument/2006/relationships/hyperlink" Target="https://www.amazon.in/dp/B0D4QNLF6Y" TargetMode="External"/><Relationship Id="rId7" Type="http://schemas.openxmlformats.org/officeDocument/2006/relationships/hyperlink" Target="https://www.amazon.in/OnePlus-Playback-Translation-Dual-Device-Connectivity/dp/B0FMDL81GS/ref=sr_1_7" TargetMode="External"/><Relationship Id="rId8" Type="http://schemas.openxmlformats.org/officeDocument/2006/relationships/hyperlink" Target="https://www.amazon.in/boAt-Nirvana-Crystl-White-Lustre/dp/B0DGTVLKPT/ref=sr_1_8" TargetMode="External"/><Relationship Id="rId9" Type="http://schemas.openxmlformats.org/officeDocument/2006/relationships/hyperlink" Target="https://www.amazon.in/dp/B0FN7J4997" TargetMode="External"/><Relationship Id="rId10" Type="http://schemas.openxmlformats.org/officeDocument/2006/relationships/hyperlink" Target="https://www.amazon.in/dp/B0H6B1L8N1" TargetMode="External"/><Relationship Id="rId11" Type="http://schemas.openxmlformats.org/officeDocument/2006/relationships/hyperlink" Target="https://www.amazon.in/boAt-Nirvana-TWS-Bluetooth-Earphones/dp/B0DQKY3R84/ref=sr_1_11" TargetMode="External"/><Relationship Id="rId12" Type="http://schemas.openxmlformats.org/officeDocument/2006/relationships/hyperlink" Target="https://www.amazon.in/boAt-Nirvana-Space-Multipoint-Connectivity/dp/B0D4VN3S8T/ref=sr_1_12" TargetMode="External"/><Relationship Id="rId13" Type="http://schemas.openxmlformats.org/officeDocument/2006/relationships/hyperlink" Target="https://www.amazon.in/boAt-Tracking-Bluetooth-Wireless-Earphones/dp/B0DBHBZZTN/ref=sr_1_13" TargetMode="External"/><Relationship Id="rId14" Type="http://schemas.openxmlformats.org/officeDocument/2006/relationships/hyperlink" Target="https://www.amazon.in/Sounce-Earphone-Compatible-Shock-Absorbing-Protective/dp/B0CJXX6QY2/ref=sr_1_14" TargetMode="External"/><Relationship Id="rId15" Type="http://schemas.openxmlformats.org/officeDocument/2006/relationships/hyperlink" Target="https://www.amazon.in/boAt-Feedback-Bluetooth-Wireless-Earphones/dp/B0G2RZZF9S/ref=sr_1_15" TargetMode="External"/><Relationship Id="rId16" Type="http://schemas.openxmlformats.org/officeDocument/2006/relationships/hyperlink" Target="https://www.amazon.in/boAt-Nirvana-Zenith-Pro-Bluetooth/dp/B0DXPL5XHF/ref=sr_1_16" TargetMode="External"/><Relationship Id="rId17" Type="http://schemas.openxmlformats.org/officeDocument/2006/relationships/hyperlink" Target="https://www.amazon.in/boAt-Airdopes-Bluetooth-Wireless-Earphones/dp/B0F5BDJG4C/ref=sr_1_17" TargetMode="External"/><Relationship Id="rId18" Type="http://schemas.openxmlformats.org/officeDocument/2006/relationships/hyperlink" Target="https://www.amazon.in/boAt-Cancelling-Bluetooth-Headphones-Immersive/dp/B09MTQ23X4/ref=sr_1_18" TargetMode="External"/><Relationship Id="rId19" Type="http://schemas.openxmlformats.org/officeDocument/2006/relationships/hyperlink" Target="https://www.amazon.in/realme-Wireless-Earbuds-Dynamic-Playback/dp/B0FBR6HGXM/ref=sr_1_19" TargetMode="External"/><Relationship Id="rId20" Type="http://schemas.openxmlformats.org/officeDocument/2006/relationships/hyperlink" Target="https://www.amazon.in/boAt-Airdopes-Multidevice-Bluetooth-Earphones/dp/B0F8BWZSFD/ref=sr_1_20" TargetMode="External"/><Relationship Id="rId21" Type="http://schemas.openxmlformats.org/officeDocument/2006/relationships/hyperlink" Target="https://www.amazon.in/boAt-Cancelling-Bluetooth-Headphones-Compatibility/dp/B09MTR7NRM/ref=sr_1_21" TargetMode="External"/><Relationship Id="rId22" Type="http://schemas.openxmlformats.org/officeDocument/2006/relationships/hyperlink" Target="https://www.amazon.in/boAt-Adaptive-AI-ENxTM-Bluetooth-Headphones/dp/B0GXB8M9ZV/ref=sr_1_22" TargetMode="External"/><Relationship Id="rId23" Type="http://schemas.openxmlformats.org/officeDocument/2006/relationships/hyperlink" Target="https://www.amazon.in/dp/B0CQJZD55X" TargetMode="External"/><Relationship Id="rId24" Type="http://schemas.openxmlformats.org/officeDocument/2006/relationships/hyperlink" Target="https://www.amazon.in/dp/B0D4QLT8WG" TargetMode="External"/><Relationship Id="rId25" Type="http://schemas.openxmlformats.org/officeDocument/2006/relationships/hyperlink" Target="https://www.amazon.in/boAt-Adaptive-Playtime-Bluetooth-Headphones/dp/B0GXBFBFYV/ref=sr_1_20" TargetMode="External"/><Relationship Id="rId26" Type="http://schemas.openxmlformats.org/officeDocument/2006/relationships/hyperlink" Target="https://www.amazon.in/boAt-Tracking-Adaptive-Bluetooth-Earphones/dp/B0FC2XZ2JJ/ref=sr_1_21" TargetMode="External"/><Relationship Id="rId27" Type="http://schemas.openxmlformats.org/officeDocument/2006/relationships/hyperlink" Target="https://www.amazon.in/dp/B0F1Y8MDHM" TargetMode="External"/><Relationship Id="rId28" Type="http://schemas.openxmlformats.org/officeDocument/2006/relationships/hyperlink" Target="https://www.amazon.in/boAt-Technology-Connectivity-Detection-Bluetooth/dp/B0H1X2CN2K/ref=sr_1_23" TargetMode="External"/><Relationship Id="rId29" Type="http://schemas.openxmlformats.org/officeDocument/2006/relationships/hyperlink" Target="https://www.amazon.in/boAt-Nirvana-Iris-Cancellation-Hearables/dp/B0DN1HT526/ref=sr_1_24" TargetMode="External"/><Relationship Id="rId30" Type="http://schemas.openxmlformats.org/officeDocument/2006/relationships/hyperlink" Target="https://www.amazon.in/Rockerz-Bluetooth-Neckband-Wireless-Earphones/dp/B0FM37T5JX/ref=sr_1_25" TargetMode="External"/><Relationship Id="rId31" Type="http://schemas.openxmlformats.org/officeDocument/2006/relationships/hyperlink" Target="https://www.amazon.in/boAt-Cancellation-Multipoint-Connectivity-Bluetooth/dp/B0FB3J8M6J/ref=sr_1_26" TargetMode="External"/><Relationship Id="rId32" Type="http://schemas.openxmlformats.org/officeDocument/2006/relationships/hyperlink" Target="https://www.amazon.in/boAt-Bluetooth-Headphones-Wireless-Headphone/dp/B0FG2QT7H2/ref=sr_1_27" TargetMode="External"/><Relationship Id="rId33" Type="http://schemas.openxmlformats.org/officeDocument/2006/relationships/hyperlink" Target="https://www.amazon.in/boAt-Airdopes-Powerful-Playback-Bluetooth/dp/B0GXB9M2HW/ref=sr_1_28" TargetMode="External"/><Relationship Id="rId34" Type="http://schemas.openxmlformats.org/officeDocument/2006/relationships/hyperlink" Target="https://www.amazon.in/Playback-Bluetooth-Headphones-Wireless-Headphone/dp/B0FW5B3JCZ/ref=sr_1_29" TargetMode="External"/><Relationship Id="rId35" Type="http://schemas.openxmlformats.org/officeDocument/2006/relationships/hyperlink" Target="https://www.amazon.in/boAt-Airdopes-ProClip-Conduction-Feather-Light/dp/B0GZN7C6X8/ref=sr_1_30" TargetMode="External"/><Relationship Id="rId36" Type="http://schemas.openxmlformats.org/officeDocument/2006/relationships/hyperlink" Target="https://www.amazon.in/boAt-Rockerz-Assistant-Wireless-Headphones/dp/B0GX9ZRTM6/ref=sr_1_31" TargetMode="External"/><Relationship Id="rId37" Type="http://schemas.openxmlformats.org/officeDocument/2006/relationships/hyperlink" Target="https://www.amazon.in/boAt-Airdopes-Bluetooth-Wireless-Earphones/dp/B0FC2Y3XGV/ref=sr_1_32" TargetMode="External"/><Relationship Id="rId38" Type="http://schemas.openxmlformats.org/officeDocument/2006/relationships/hyperlink" Target="https://www.amazon.in/CrossBeats-Hertz-Earphones-Bluetooth-Cancellation/dp/B0G6D8R6XM/ref=sr_1_33" TargetMode="External"/><Relationship Id="rId39" Type="http://schemas.openxmlformats.org/officeDocument/2006/relationships/hyperlink" Target="https://www.amazon.in/Noise-Truly-Wireless-Bluetooth-Earbuds/dp/B0DNZTC6K7/ref=sr_1_34" TargetMode="External"/><Relationship Id="rId40" Type="http://schemas.openxmlformats.org/officeDocument/2006/relationships/hyperlink" Target="https://www.amazon.in/OnePlus-Wireless-Bluetooth-Cancellation-Harmonic/dp/B0DFQ1R3W4/ref=sr_1_35" TargetMode="External"/><Relationship Id="rId41" Type="http://schemas.openxmlformats.org/officeDocument/2006/relationships/hyperlink" Target="https://www.amazon.in/Samsung-Enabled-Enriched-Battery-Controls/dp/B0FDGVNSLH/ref=sr_1_36" TargetMode="External"/><Relationship Id="rId42" Type="http://schemas.openxmlformats.org/officeDocument/2006/relationships/hyperlink" Target="https://www.amazon.in/dp/B0FN7J4997" TargetMode="External"/><Relationship Id="rId43" Type="http://schemas.openxmlformats.org/officeDocument/2006/relationships/hyperlink" Target="https://www.amazon.in/dp/B0D4QNLF6Y" TargetMode="External"/><Relationship Id="rId44" Type="http://schemas.openxmlformats.org/officeDocument/2006/relationships/hyperlink" Target="https://www.amazon.in/Noise-Launched-Wireless-Metallic-Instacharge/dp/B0FN7J4NWT/ref=sr_1_3" TargetMode="External"/><Relationship Id="rId45" Type="http://schemas.openxmlformats.org/officeDocument/2006/relationships/hyperlink" Target="https://www.amazon.in/OnePlus-Playback-Translation-Dual-Device-Connectivity/dp/B0FMDLD86P/ref=sr_1_4" TargetMode="External"/><Relationship Id="rId46" Type="http://schemas.openxmlformats.org/officeDocument/2006/relationships/hyperlink" Target="https://www.amazon.in/dp/B0DK979YJ7" TargetMode="External"/><Relationship Id="rId47" Type="http://schemas.openxmlformats.org/officeDocument/2006/relationships/hyperlink" Target="https://www.amazon.in/dp/B0G2CD21GR" TargetMode="External"/><Relationship Id="rId48" Type="http://schemas.openxmlformats.org/officeDocument/2006/relationships/hyperlink" Target="https://www.amazon.in/Noise-Adaptive-Spatial-Tracking-Pairing/dp/B0G2C8MR7L/ref=sr_1_7" TargetMode="External"/><Relationship Id="rId49" Type="http://schemas.openxmlformats.org/officeDocument/2006/relationships/hyperlink" Target="https://www.amazon.in/Noise-Wireless-Metallic-Playtime-Instacharge/dp/B0D4QLT8WG/ref=sr_1_8" TargetMode="External"/><Relationship Id="rId50" Type="http://schemas.openxmlformats.org/officeDocument/2006/relationships/hyperlink" Target="https://www.amazon.in/dp/B0DCNWN8NZ" TargetMode="External"/><Relationship Id="rId51" Type="http://schemas.openxmlformats.org/officeDocument/2006/relationships/hyperlink" Target="https://www.amazon.in/dp/B0DMZRJ939" TargetMode="External"/><Relationship Id="rId52" Type="http://schemas.openxmlformats.org/officeDocument/2006/relationships/hyperlink" Target="https://www.amazon.in/Noise-Launched-Wireless-Playtime-Instacharge/dp/B0FTZFYC1V/ref=sr_1_11" TargetMode="External"/><Relationship Id="rId53" Type="http://schemas.openxmlformats.org/officeDocument/2006/relationships/hyperlink" Target="https://www.amazon.in/Noise-Truly-Wireless-Bluetooth-Earbuds/dp/B0DNZPWVM7/ref=sr_1_12" TargetMode="External"/><Relationship Id="rId54" Type="http://schemas.openxmlformats.org/officeDocument/2006/relationships/hyperlink" Target="https://www.amazon.in/Noise-Wireless-Earbuds-Playtime-Instacharge/dp/B0GWDFZPN6/ref=sr_1_13" TargetMode="External"/><Relationship Id="rId55" Type="http://schemas.openxmlformats.org/officeDocument/2006/relationships/hyperlink" Target="https://www.amazon.in/Noise-Launched-Connect-Wireless-Playtime/dp/B0FZ9YLWP1/ref=sr_1_14" TargetMode="External"/><Relationship Id="rId56" Type="http://schemas.openxmlformats.org/officeDocument/2006/relationships/hyperlink" Target="https://www.amazon.in/Noise-Spatial-Playtime-Instacharge-Metallic/dp/B0GWD513TF/ref=sr_1_15" TargetMode="External"/><Relationship Id="rId57" Type="http://schemas.openxmlformats.org/officeDocument/2006/relationships/hyperlink" Target="https://www.amazon.in/Noise-Wireless-Earbuds-Playtime-Instacharge/dp/B0DS2SG8YP/ref=sr_1_16" TargetMode="External"/><Relationship Id="rId58" Type="http://schemas.openxmlformats.org/officeDocument/2006/relationships/hyperlink" Target="https://www.amazon.in/Noise-Wireless-Bluetooth-Playtime-Instacharge/dp/B0DS2Y94LS/ref=sr_1_17" TargetMode="External"/><Relationship Id="rId59" Type="http://schemas.openxmlformats.org/officeDocument/2006/relationships/hyperlink" Target="https://www.amazon.in/Noise-Launched-Wireless-Playtime-Transparent/dp/B0FHW7PX1N/ref=sr_1_18" TargetMode="External"/><Relationship Id="rId60" Type="http://schemas.openxmlformats.org/officeDocument/2006/relationships/hyperlink" Target="https://www.amazon.in/Noise-Launched-Wireless-Playtime-Instacharge/dp/B0CQJXC3SP/ref=sr_1_19" TargetMode="External"/><Relationship Id="rId61" Type="http://schemas.openxmlformats.org/officeDocument/2006/relationships/hyperlink" Target="https://www.amazon.in/realme-Bluetooth-Earbuds-Playback-Charging/dp/B0DZCRYG7R/ref=sr_1_20" TargetMode="External"/><Relationship Id="rId62" Type="http://schemas.openxmlformats.org/officeDocument/2006/relationships/hyperlink" Target="https://www.amazon.in/Noise-Wireless-Earbuds-Playtime-Resistant/dp/B0GCNNWM13/ref=sr_1_21" TargetMode="External"/><Relationship Id="rId63" Type="http://schemas.openxmlformats.org/officeDocument/2006/relationships/hyperlink" Target="https://www.amazon.in/OnePlus-Wireless-Bluetooth-Cancellation-Charging/dp/B0D7HZ3KK9/ref=sr_1_22" TargetMode="External"/><Relationship Id="rId64" Type="http://schemas.openxmlformats.org/officeDocument/2006/relationships/hyperlink" Target="https://www.amazon.in/dp/B0G2CD1LHF" TargetMode="External"/><Relationship Id="rId65" Type="http://schemas.openxmlformats.org/officeDocument/2006/relationships/hyperlink" Target="https://www.amazon.in/OnePlus-Nord-E518A-Raven-Black/dp/B0GQTSHLLR/ref=sr_1_20" TargetMode="External"/><Relationship Id="rId66" Type="http://schemas.openxmlformats.org/officeDocument/2006/relationships/hyperlink" Target="https://www.amazon.in/Noise-Wireless-Earbuds-Playtime-Latency/dp/B0FZ9WRMLN/ref=sr_1_21" TargetMode="External"/><Relationship Id="rId67" Type="http://schemas.openxmlformats.org/officeDocument/2006/relationships/hyperlink" Target="https://www.amazon.in/dp/B0HCCPSMC7" TargetMode="External"/><Relationship Id="rId68" Type="http://schemas.openxmlformats.org/officeDocument/2006/relationships/hyperlink" Target="https://www.amazon.in/dp/B0H9D2WPCJ" TargetMode="External"/><Relationship Id="rId69" Type="http://schemas.openxmlformats.org/officeDocument/2006/relationships/hyperlink" Target="https://www.amazon.in/Noise-Launched-Wireless-Playtime-Instacharge/dp/B0FTZD16TR/ref=sr_1_24" TargetMode="External"/><Relationship Id="rId70" Type="http://schemas.openxmlformats.org/officeDocument/2006/relationships/hyperlink" Target="https://www.amazon.in/GOBOULT-Wireless-Playtime-Bluetooth-Earphone/dp/B0DZ1116TL/ref=sr_1_25" TargetMode="External"/><Relationship Id="rId71" Type="http://schemas.openxmlformats.org/officeDocument/2006/relationships/hyperlink" Target="https://www.amazon.in/dp/B0BQ2LDNMQ" TargetMode="External"/><Relationship Id="rId72" Type="http://schemas.openxmlformats.org/officeDocument/2006/relationships/hyperlink" Target="https://www.amazon.in/dp/B0H9S91SLY" TargetMode="External"/><Relationship Id="rId73" Type="http://schemas.openxmlformats.org/officeDocument/2006/relationships/hyperlink" Target="https://www.amazon.in/GOBOULT-Playtime-Continues-Bluetooth-Earbuds/dp/B0G43FRQBL/ref=sr_1_28" TargetMode="External"/><Relationship Id="rId74" Type="http://schemas.openxmlformats.org/officeDocument/2006/relationships/hyperlink" Target="https://www.amazon.in/Noise-Launched-Wireless-Earbuds-Playtime/dp/B0GSZV3415/ref=sr_1_29" TargetMode="External"/><Relationship Id="rId75" Type="http://schemas.openxmlformats.org/officeDocument/2006/relationships/hyperlink" Target="https://www.amazon.in/dp/B0H9DBVTYX" TargetMode="External"/><Relationship Id="rId76" Type="http://schemas.openxmlformats.org/officeDocument/2006/relationships/hyperlink" Target="https://www.amazon.in/dp/B0CP9H5J1W" TargetMode="External"/><Relationship Id="rId77" Type="http://schemas.openxmlformats.org/officeDocument/2006/relationships/hyperlink" Target="https://www.amazon.in/GOBOULT-Playtime-Cancellation-Bluetooth-Wireless/dp/B0GRV6L413/ref=sr_1_32" TargetMode="External"/><Relationship Id="rId78" Type="http://schemas.openxmlformats.org/officeDocument/2006/relationships/hyperlink" Target="https://www.amazon.in/boAt-Nirvana-Ion-ANC-Cancellation/dp/B0CF5PNVZH/ref=sr_1_33" TargetMode="External"/><Relationship Id="rId79" Type="http://schemas.openxmlformats.org/officeDocument/2006/relationships/hyperlink" Target="https://www.amazon.in/Noise-Wireless-Bluetooth-30-Hours-Instacharge/dp/B09Y5LL6P4/ref=sr_1_34" TargetMode="External"/><Relationship Id="rId80" Type="http://schemas.openxmlformats.org/officeDocument/2006/relationships/hyperlink" Target="https://www.amazon.in/Noise-Truly-Wireless-Bluetooth-Earbuds/dp/B0CYPZLV8C/ref=sr_1_35" TargetMode="External"/><Relationship Id="rId81" Type="http://schemas.openxmlformats.org/officeDocument/2006/relationships/hyperlink" Target="https://www.amazon.in/Original-Bluetooth-Earbuds-Lightweight-Controls/dp/B0H8J2BP95/ref=sr_1_36" TargetMode="External"/><Relationship Id="rId82" Type="http://schemas.openxmlformats.org/officeDocument/2006/relationships/hyperlink" Target="https://www.amazon.in/Noise-Bluetooth-Adaptive-Immersive-Playtime/dp/B0DK96DPY6/ref=sr_1_37" TargetMode="External"/><Relationship Id="rId83" Type="http://schemas.openxmlformats.org/officeDocument/2006/relationships/hyperlink" Target="https://www.amazon.in/GOBOULT-Launched-Playtime-Bluetooth-Wireless/dp/B0H6B3HXXG/ref=sr_1_38" TargetMode="External"/><Relationship Id="rId84" Type="http://schemas.openxmlformats.org/officeDocument/2006/relationships/hyperlink" Target="https://www.amazon.in/Noise-Launched-Wireless-Playtime-Instacharge/dp/B0CYPYZF64/ref=sr_1_39" TargetMode="External"/><Relationship Id="rId85" Type="http://schemas.openxmlformats.org/officeDocument/2006/relationships/hyperlink" Target="https://www.amazon.in/Noise-Wireless-Earbuds-Playtime-Equalizer/dp/B0C23JN62Z/ref=sr_1_40" TargetMode="External"/><Relationship Id="rId86" Type="http://schemas.openxmlformats.org/officeDocument/2006/relationships/hyperlink" Target="https://www.amazon.in/boAt-Airdopes-Powerful-Playback-Bluetooth/dp/B0GXBBD73Q/ref=sr_1_41" TargetMode="External"/><Relationship Id="rId87" Type="http://schemas.openxmlformats.org/officeDocument/2006/relationships/hyperlink" Target="https://www.amazon.in/dp/B0F491YC5Q" TargetMode="External"/><Relationship Id="rId88" Type="http://schemas.openxmlformats.org/officeDocument/2006/relationships/hyperlink" Target="https://www.amazon.in/dp/B0F992RNJF" TargetMode="External"/><Relationship Id="rId89" Type="http://schemas.openxmlformats.org/officeDocument/2006/relationships/hyperlink" Target="https://www.amazon.in/Premium-Insights-Advanced-Processor-Sterling/dp/B0FLY818W5/ref=sr_1_4" TargetMode="External"/><Relationship Id="rId90" Type="http://schemas.openxmlformats.org/officeDocument/2006/relationships/hyperlink" Target="https://www.amazon.in/dp/B0CP9PLWTF" TargetMode="External"/><Relationship Id="rId91" Type="http://schemas.openxmlformats.org/officeDocument/2006/relationships/hyperlink" Target="https://www.amazon.in/dp/B0BN1ZG1QZ" TargetMode="External"/><Relationship Id="rId92" Type="http://schemas.openxmlformats.org/officeDocument/2006/relationships/hyperlink" Target="https://www.amazon.in/Chrome-Endeavour-Insights-Processor-Watchface/dp/B0FLY7SKD2/ref=sr_1_7" TargetMode="External"/><Relationship Id="rId93" Type="http://schemas.openxmlformats.org/officeDocument/2006/relationships/hyperlink" Target="https://www.amazon.in/boAt-smartwatch-Display-Personalized-Functional/dp/B0DSFQ2RLV/ref=sr_1_8" TargetMode="External"/><Relationship Id="rId94" Type="http://schemas.openxmlformats.org/officeDocument/2006/relationships/hyperlink" Target="https://www.amazon.in/dp/B0GMK1YDVZ" TargetMode="External"/><Relationship Id="rId95" Type="http://schemas.openxmlformats.org/officeDocument/2006/relationships/hyperlink" Target="https://www.amazon.in/dp/B0FNCPKFP6" TargetMode="External"/><Relationship Id="rId96" Type="http://schemas.openxmlformats.org/officeDocument/2006/relationships/hyperlink" Target="https://www.amazon.in/Noise-Launched-Functional-Stainless-Transition/dp/B0D6N5V9PY/ref=sr_1_11" TargetMode="External"/><Relationship Id="rId97" Type="http://schemas.openxmlformats.org/officeDocument/2006/relationships/hyperlink" Target="https://www.amazon.in/boAt-Ultima-Ember-Smartwatch-Personalized/dp/B0DSFQ434R/ref=sr_1_12" TargetMode="External"/><Relationship Id="rId98" Type="http://schemas.openxmlformats.org/officeDocument/2006/relationships/hyperlink" Target="https://www.amazon.in/boAt-Advanced-Bluetooth-Functional-Monitoring/dp/B0CF1NTL6M/ref=sr_1_14" TargetMode="External"/><Relationship Id="rId99" Type="http://schemas.openxmlformats.org/officeDocument/2006/relationships/hyperlink" Target="https://www.amazon.in/Noise-Launched-Endeavour-Display-Calling/dp/B0CG1T39PB/ref=sr_1_16" TargetMode="External"/><Relationship Id="rId100" Type="http://schemas.openxmlformats.org/officeDocument/2006/relationships/hyperlink" Target="https://www.amazon.in/Fastrack-Commands-Metallic-Functional-multisport/dp/B0FLYHD5MD/ref=sr_1_17" TargetMode="External"/><Relationship Id="rId101" Type="http://schemas.openxmlformats.org/officeDocument/2006/relationships/hyperlink" Target="https://www.amazon.in/Fire-Boltt-Phoenix-Smartwatch-Display-Bluetooth/dp/B0GH878CBZ/ref=sr_1_18" TargetMode="External"/><Relationship Id="rId102" Type="http://schemas.openxmlformats.org/officeDocument/2006/relationships/hyperlink" Target="https://www.amazon.in/Redmi-Watch-Lite-Bluetooth-Reduction/dp/B0DH2SRQ3L/ref=sr_1_19" TargetMode="External"/><Relationship Id="rId103" Type="http://schemas.openxmlformats.org/officeDocument/2006/relationships/hyperlink" Target="https://www.amazon.in/Noise-Unlimited-Display-Functional-Metallic/dp/B0GMJYSSRH/ref=sr_1_20" TargetMode="External"/><Relationship Id="rId104" Type="http://schemas.openxmlformats.org/officeDocument/2006/relationships/hyperlink" Target="https://www.amazon.in/Noise-NoiseFit-Endeavour-Smartwatch-Silver/dp/B0DQCSHCQ6/ref=sr_1_21" TargetMode="External"/><Relationship Id="rId105" Type="http://schemas.openxmlformats.org/officeDocument/2006/relationships/hyperlink" Target="https://www.amazon.in/Noise-Smartwatch-Calling-Tracking-Monitoring/dp/B0CQ4HSR2D/ref=sr_1_22" TargetMode="External"/><Relationship Id="rId106" Type="http://schemas.openxmlformats.org/officeDocument/2006/relationships/hyperlink" Target="https://www.amazon.in/dp/B0BN1X7ZVT" TargetMode="External"/><Relationship Id="rId107" Type="http://schemas.openxmlformats.org/officeDocument/2006/relationships/hyperlink" Target="https://www.amazon.in/GOBOULT-Saber-Functional-Watchfaces-Brightness/dp/B0G3PVS17V/ref=sr_1_20" TargetMode="External"/><Relationship Id="rId108" Type="http://schemas.openxmlformats.org/officeDocument/2006/relationships/hyperlink" Target="https://www.amazon.in/CrossBeats-Everest-Display-Bluetooth-Smartwatch/dp/B0F8GP4FL1/ref=sr_1_21" TargetMode="External"/><Relationship Id="rId109" Type="http://schemas.openxmlformats.org/officeDocument/2006/relationships/hyperlink" Target="https://www.amazon.in/HELLOSCREEN-Boat-Chrome-Horizon-Smartwatch/dp/B0GQQLW352/ref=sr_1_22" TargetMode="External"/><Relationship Id="rId110" Type="http://schemas.openxmlformats.org/officeDocument/2006/relationships/hyperlink" Target="https://www.amazon.in/PROTECTERR-Smartwatch-Protector-Chrome-Horizon/dp/B0GTZY4H8T/ref=sr_1_23" TargetMode="External"/><Relationship Id="rId111" Type="http://schemas.openxmlformats.org/officeDocument/2006/relationships/hyperlink" Target="https://www.amazon.in/TELTREK-Screenguard-Compatible-Chrome-Horizon/dp/B0FYFP7WLF/ref=sr_1_24" TargetMode="External"/><Relationship Id="rId112" Type="http://schemas.openxmlformats.org/officeDocument/2006/relationships/hyperlink" Target="https://www.amazon.in/ZINGTEL-Compatible-BoAt-Chrome-Horizon/dp/B0G35LCBM8/ref=sr_1_25" TargetMode="External"/><Relationship Id="rId113" Type="http://schemas.openxmlformats.org/officeDocument/2006/relationships/hyperlink" Target="https://www.amazon.in/Wisely-Boat-Chrome-Horizon-Anti-Scratch/dp/B0FCY78Y66/ref=sr_1_26" TargetMode="External"/><Relationship Id="rId114" Type="http://schemas.openxmlformats.org/officeDocument/2006/relationships/hyperlink" Target="https://www.amazon.in/AONES-Leather-Silicone-Compatible-Smartwatch/dp/B0FBX6RRGH/ref=sr_1_27" TargetMode="External"/><Relationship Id="rId115" Type="http://schemas.openxmlformats.org/officeDocument/2006/relationships/hyperlink" Target="https://www.amazon.in/AONES-Magnetic-Silicone-Compatible-Smartwatch/dp/B0FC1R4J3Z/ref=sr_1_28" TargetMode="External"/><Relationship Id="rId116" Type="http://schemas.openxmlformats.org/officeDocument/2006/relationships/hyperlink" Target="https://www.amazon.in/AONES-Magnetic-Silicone-Compatible-Smartwatch/dp/B0FC1P2H4N/ref=sr_1_29" TargetMode="External"/><Relationship Id="rId117" Type="http://schemas.openxmlformats.org/officeDocument/2006/relationships/hyperlink" Target="https://www.amazon.in/AONES-Magnetic-Silicone-Compatible-Smartwatch/dp/B0FC1P14N1/ref=sr_1_30" TargetMode="External"/><Relationship Id="rId118" Type="http://schemas.openxmlformats.org/officeDocument/2006/relationships/hyperlink" Target="https://www.amazon.in/AONES-Magnetic-Silicone-Compatible-Smartwatch/dp/B0FC1RTCYK/ref=sr_1_31" TargetMode="External"/><Relationship Id="rId119" Type="http://schemas.openxmlformats.org/officeDocument/2006/relationships/hyperlink" Target="https://www.amazon.in/AONES-Silicone-Compatible-Horizon-Smartwatch/dp/B0FC1JJXQB/ref=sr_1_32" TargetMode="External"/><Relationship Id="rId120" Type="http://schemas.openxmlformats.org/officeDocument/2006/relationships/hyperlink" Target="https://www.amazon.in/AONES-Silicone-Magnetic-Compatible-Smartwatch/dp/B0FD35ZGC4/ref=sr_1_33" TargetMode="External"/><Relationship Id="rId121" Type="http://schemas.openxmlformats.org/officeDocument/2006/relationships/hyperlink" Target="https://www.amazon.in/AONES-Silicone-Compatible-Horizon-Smartwatch/dp/B0FC1WRY8T/ref=sr_1_34" TargetMode="External"/><Relationship Id="rId122" Type="http://schemas.openxmlformats.org/officeDocument/2006/relationships/hyperlink" Target="https://www.amazon.in/YODI-Parasuit-Compatible-Smartwatch-Accessories/dp/B0FRY2YHDD/ref=sr_1_35" TargetMode="External"/><Relationship Id="rId123" Type="http://schemas.openxmlformats.org/officeDocument/2006/relationships/hyperlink" Target="https://www.amazon.in/dp/B0DFYL4635" TargetMode="External"/><Relationship Id="rId124" Type="http://schemas.openxmlformats.org/officeDocument/2006/relationships/hyperlink" Target="https://www.amazon.in/dp/B0F992RNJF" TargetMode="External"/><Relationship Id="rId125" Type="http://schemas.openxmlformats.org/officeDocument/2006/relationships/hyperlink" Target="https://www.amazon.in/boAt-Advanced-Bluetooth-Functional-Monitoring/dp/B0CF1NTL6M/ref=sr_1_3" TargetMode="External"/><Relationship Id="rId126" Type="http://schemas.openxmlformats.org/officeDocument/2006/relationships/hyperlink" Target="https://www.amazon.in/Discovery-Metallic-Animated-Watchfaces-Bluetooth/dp/B0G1T2GZP9/ref=sr_1_4" TargetMode="External"/><Relationship Id="rId127" Type="http://schemas.openxmlformats.org/officeDocument/2006/relationships/hyperlink" Target="https://www.amazon.in/dp/B0GH7Q2SH2" TargetMode="External"/><Relationship Id="rId128" Type="http://schemas.openxmlformats.org/officeDocument/2006/relationships/hyperlink" Target="https://www.amazon.in/dp/B0F493G266" TargetMode="External"/><Relationship Id="rId129" Type="http://schemas.openxmlformats.org/officeDocument/2006/relationships/hyperlink" Target="https://www.amazon.in/boAt-Lunar-Discovery-Navigation-Bluetooth/dp/B0DFYL5DX5/ref=sr_1_7" TargetMode="External"/><Relationship Id="rId130" Type="http://schemas.openxmlformats.org/officeDocument/2006/relationships/hyperlink" Target="https://www.amazon.in/Discovery-Emergency-Functional-Multiple-Tracking/dp/B0FLK54XSP/ref=sr_1_8" TargetMode="External"/><Relationship Id="rId131" Type="http://schemas.openxmlformats.org/officeDocument/2006/relationships/hyperlink" Target="https://www.amazon.in/dp/B0DKBZYXZY" TargetMode="External"/><Relationship Id="rId132" Type="http://schemas.openxmlformats.org/officeDocument/2006/relationships/hyperlink" Target="https://www.amazon.in/dp/B0C496V772" TargetMode="External"/><Relationship Id="rId133" Type="http://schemas.openxmlformats.org/officeDocument/2006/relationships/hyperlink" Target="https://www.amazon.in/Fastrack-Jupiter-Display-Charging-Calling/dp/B0GLPF5GBP/ref=sr_1_11" TargetMode="External"/><Relationship Id="rId134" Type="http://schemas.openxmlformats.org/officeDocument/2006/relationships/hyperlink" Target="https://www.amazon.in/boAt-Metallic-Tracking-Bluetooth-Emergency/dp/B0H5Q7JPHP/ref=sr_1_12" TargetMode="External"/><Relationship Id="rId135" Type="http://schemas.openxmlformats.org/officeDocument/2006/relationships/hyperlink" Target="https://www.amazon.in/Fire-Boltt-Stainless-Bluetooth-Monitoring-Assistant/dp/B0F2YZ22LK/ref=sr_1_14" TargetMode="External"/><Relationship Id="rId136" Type="http://schemas.openxmlformats.org/officeDocument/2006/relationships/hyperlink" Target="https://www.amazon.in/Fire-Boltt-Bluetooth-Smartwatch-Assistant-Monitoring/dp/B0BRKXXPZ7/ref=sr_1_15" TargetMode="External"/><Relationship Id="rId137" Type="http://schemas.openxmlformats.org/officeDocument/2006/relationships/hyperlink" Target="https://www.amazon.in/Noise-Launched-Bluetooth-Calling-Tracking/dp/B0BJ72WZQ7/ref=sr_1_16" TargetMode="External"/><Relationship Id="rId138" Type="http://schemas.openxmlformats.org/officeDocument/2006/relationships/hyperlink" Target="https://www.amazon.in/boAt-smartwatch-Display-Personalized-Functional/dp/B0DSFQ2RLV/ref=sr_1_17" TargetMode="External"/><Relationship Id="rId139" Type="http://schemas.openxmlformats.org/officeDocument/2006/relationships/hyperlink" Target="https://www.amazon.in/boAt-Smartwatch-Brightness-Personalized-Functional/dp/B0H2HGLNQP/ref=sr_1_18" TargetMode="External"/><Relationship Id="rId140" Type="http://schemas.openxmlformats.org/officeDocument/2006/relationships/hyperlink" Target="https://www.amazon.in/boAt-Metallic-Tracking-Bluetooth-Emergency/dp/B0H5QHD6VY/ref=sr_1_19" TargetMode="External"/><Relationship Id="rId141" Type="http://schemas.openxmlformats.org/officeDocument/2006/relationships/hyperlink" Target="https://www.amazon.in/Fire-Boltt-Bluetooth-Calling-Smartwatch-Assistance/dp/B0BY2R74YW/ref=sr_1_20" TargetMode="External"/><Relationship Id="rId142" Type="http://schemas.openxmlformats.org/officeDocument/2006/relationships/hyperlink" Target="https://www.amazon.in/boAt-Smartwatch-Charging-Functional-Tracking/dp/B0GX9F6XY6/ref=sr_1_21" TargetMode="External"/><Relationship Id="rId143" Type="http://schemas.openxmlformats.org/officeDocument/2006/relationships/hyperlink" Target="https://www.amazon.in/boAt-Metallic-Tracking-Bluetooth-Emergency/dp/B0H5QGRDX8/ref=sr_1_22" TargetMode="External"/><Relationship Id="rId144" Type="http://schemas.openxmlformats.org/officeDocument/2006/relationships/hyperlink" Target="https://www.amazon.in/dp/B0B3RRWSF6" TargetMode="External"/><Relationship Id="rId145" Type="http://schemas.openxmlformats.org/officeDocument/2006/relationships/hyperlink" Target="https://www.amazon.in/dp/B0CMF25TKG" TargetMode="External"/><Relationship Id="rId146" Type="http://schemas.openxmlformats.org/officeDocument/2006/relationships/hyperlink" Target="https://www.amazon.in/dp/B0DW9B76RV" TargetMode="External"/><Relationship Id="rId147" Type="http://schemas.openxmlformats.org/officeDocument/2006/relationships/hyperlink" Target="https://www.amazon.in/boAt-Infinity-Maximum-Capacity-Functional/dp/B0FBMGHL22/ref=sr_1_20" TargetMode="External"/><Relationship Id="rId148" Type="http://schemas.openxmlformats.org/officeDocument/2006/relationships/hyperlink" Target="https://www.amazon.in/boAt-Embrace-Functional-Metal-Built-Animated/dp/B0CM38JVX4/ref=sr_1_21" TargetMode="External"/><Relationship Id="rId149" Type="http://schemas.openxmlformats.org/officeDocument/2006/relationships/hyperlink" Target="https://www.amazon.in/boAt-Smartwatch-Immersive-Functional-Monitoring/dp/B0GPDRBRBX/ref=sr_1_22" TargetMode="External"/><Relationship Id="rId150" Type="http://schemas.openxmlformats.org/officeDocument/2006/relationships/hyperlink" Target="https://www.amazon.in/AuraVue-Display-Brightness-Premium-Bluetooth/dp/B0G4MFK5MD/ref=sr_1_23" TargetMode="External"/><Relationship Id="rId151" Type="http://schemas.openxmlformats.org/officeDocument/2006/relationships/hyperlink" Target="https://www.amazon.in/boAt-Lunar-Discovery-Emergency-Functional/dp/B0FLK5LQ6X/ref=sr_1_24" TargetMode="External"/><Relationship Id="rId152" Type="http://schemas.openxmlformats.org/officeDocument/2006/relationships/hyperlink" Target="https://www.amazon.in/boAt-Brightness-Monitoring-Tracking-Smartwatch/dp/B0GPDV4GGT/ref=sr_1_25" TargetMode="External"/><Relationship Id="rId153" Type="http://schemas.openxmlformats.org/officeDocument/2006/relationships/hyperlink" Target="https://www.amazon.in/boAt-Enigma-Radiant-Functional-Breathing/dp/B0DFYLCMZF/ref=sr_1_26" TargetMode="External"/><Relationship Id="rId154" Type="http://schemas.openxmlformats.org/officeDocument/2006/relationships/hyperlink" Target="https://www.amazon.in/boAt-Auto-Activity-Detection-Advanced-Bluetooth/dp/B0F491YC5Q/ref=sr_1_27" TargetMode="External"/><Relationship Id="rId155" Type="http://schemas.openxmlformats.org/officeDocument/2006/relationships/hyperlink" Target="https://www.amazon.in/boAt-Advanced-sensors-Battery-Display/dp/B0FBMDRLD2/ref=sr_1_28" TargetMode="External"/><Relationship Id="rId156" Type="http://schemas.openxmlformats.org/officeDocument/2006/relationships/hyperlink" Target="https://www.amazon.in/boAt-Smartwatch-Display-Brightness-Premium/dp/B0H1J1ZDVW/ref=sr_1_29" TargetMode="External"/><Relationship Id="rId157" Type="http://schemas.openxmlformats.org/officeDocument/2006/relationships/hyperlink" Target="https://www.amazon.in/Noise-Launched-Display-Calling-Battery/dp/B0CG1Y3336/ref=sr_1_30" TargetMode="External"/><Relationship Id="rId158" Type="http://schemas.openxmlformats.org/officeDocument/2006/relationships/hyperlink" Target="https://www.amazon.in/Premium-Display-Insights-Advanced-Processor/dp/B0FLY8HT7H/ref=sr_1_31" TargetMode="External"/><Relationship Id="rId159" Type="http://schemas.openxmlformats.org/officeDocument/2006/relationships/hyperlink" Target="https://www.amazon.in/Noise-ColorFit-Pulse-Smartwatch-Mocha/dp/B0D4ZFTLPX/ref=sr_1_32" TargetMode="External"/><Relationship Id="rId160" Type="http://schemas.openxmlformats.org/officeDocument/2006/relationships/hyperlink" Target="https://www.amazon.in/Fire-Boltt-Bluetooth-Wireless-Charging-Assistant/dp/B0F2Z1Q4W4/ref=sr_1_33" TargetMode="External"/><Relationship Id="rId161" Type="http://schemas.openxmlformats.org/officeDocument/2006/relationships/hyperlink" Target="https://www.amazon.in/Enigma-Brightness-Emergency-Wellness-Tracking/dp/B0FLXJLZR1/ref=sr_1_34" TargetMode="External"/><Relationship Id="rId162" Type="http://schemas.openxmlformats.org/officeDocument/2006/relationships/hyperlink" Target="https://www.amazon.in/Noise-Vibrant-Bluetooth-Metallic-Assistance/dp/B0DNQQ67JY/ref=sr_1_35" TargetMode="External"/><Relationship Id="rId163" Type="http://schemas.openxmlformats.org/officeDocument/2006/relationships/hyperlink" Target="https://www.amazon.in/dp/B0GMKL443R" TargetMode="External"/><Relationship Id="rId164" Type="http://schemas.openxmlformats.org/officeDocument/2006/relationships/hyperlink" Target="https://www.amazon.in/dp/B0D7QKQMZP" TargetMode="External"/><Relationship Id="rId165" Type="http://schemas.openxmlformats.org/officeDocument/2006/relationships/hyperlink" Target="https://www.amazon.in/Noise-Launched-Bluetooth-Detection-Smartwatch/dp/B0CQRQK8L8/ref=sr_1_3" TargetMode="External"/><Relationship Id="rId166" Type="http://schemas.openxmlformats.org/officeDocument/2006/relationships/hyperlink" Target="https://www.amazon.in/Noise-Display-Functional-Premium-Metallic/dp/B0D6GK2871/ref=sr_1_4" TargetMode="External"/><Relationship Id="rId167" Type="http://schemas.openxmlformats.org/officeDocument/2006/relationships/hyperlink" Target="https://www.amazon.in/dp/B0FNCQ7MLT" TargetMode="External"/><Relationship Id="rId168" Type="http://schemas.openxmlformats.org/officeDocument/2006/relationships/hyperlink" Target="https://www.amazon.in/dp/B0GMK4ZJPX" TargetMode="External"/><Relationship Id="rId169" Type="http://schemas.openxmlformats.org/officeDocument/2006/relationships/hyperlink" Target="https://www.amazon.in/Noise-Smartwatch-Calling-Tracking-Monitoring/dp/B0CQ4JT6NT/ref=sr_1_7" TargetMode="External"/><Relationship Id="rId170" Type="http://schemas.openxmlformats.org/officeDocument/2006/relationships/hyperlink" Target="https://www.amazon.in/Fastrack-Limitless-Calling-Assistant-Tracking/dp/B0F5HRC4QC/ref=sr_1_8" TargetMode="External"/><Relationship Id="rId171" Type="http://schemas.openxmlformats.org/officeDocument/2006/relationships/hyperlink" Target="https://www.amazon.in/dp/B0GMJYSSRH" TargetMode="External"/><Relationship Id="rId172" Type="http://schemas.openxmlformats.org/officeDocument/2006/relationships/hyperlink" Target="https://www.amazon.in/dp/B0DMF23B83" TargetMode="External"/><Relationship Id="rId173" Type="http://schemas.openxmlformats.org/officeDocument/2006/relationships/hyperlink" Target="https://www.amazon.in/Noise-Display-Bluetooth-Brightness-Smartwatch/dp/B0GMK64GS1/ref=sr_1_11" TargetMode="External"/><Relationship Id="rId174" Type="http://schemas.openxmlformats.org/officeDocument/2006/relationships/hyperlink" Target="https://www.amazon.in/Noise-Launched-Display-Calling-Battery/dp/B0CG1Y3336/ref=sr_1_12" TargetMode="External"/><Relationship Id="rId175" Type="http://schemas.openxmlformats.org/officeDocument/2006/relationships/hyperlink" Target="https://www.amazon.in/Noise-Luminary-Personalised-Notification-Lumilert/dp/B0D1KH77GD/ref=sr_1_13" TargetMode="External"/><Relationship Id="rId176" Type="http://schemas.openxmlformats.org/officeDocument/2006/relationships/hyperlink" Target="https://www.amazon.in/Wisely-Noise-Colorfit-Ultra-Transparent/dp/B0D9VWBRYT/ref=sr_1_14" TargetMode="External"/><Relationship Id="rId177" Type="http://schemas.openxmlformats.org/officeDocument/2006/relationships/hyperlink" Target="https://www.amazon.in/Colorcase-Smart-Silicon-Compatible-ColorFit/dp/B0DZC1YYTY/ref=sr_1_15" TargetMode="External"/><Relationship Id="rId178" Type="http://schemas.openxmlformats.org/officeDocument/2006/relationships/hyperlink" Target="https://www.amazon.in/Wisely-Pack-SmartWatch-Protector-Compatible/dp/B0C46LH3MH/ref=sr_1_16_mod_primary_new" TargetMode="External"/><Relationship Id="rId179" Type="http://schemas.openxmlformats.org/officeDocument/2006/relationships/hyperlink" Target="https://www.amazon.in/iTronix-Replacement-ColorFit-NoiseFit-Smartwatches/dp/B09HN6QB25/ref=sr_1_17" TargetMode="External"/><Relationship Id="rId180" Type="http://schemas.openxmlformats.org/officeDocument/2006/relationships/hyperlink" Target="https://www.amazon.in/Noise-Pro-Smart-Watch-Intelligent/dp/B0DGXRLS1C/ref=sr_1_18" TargetMode="External"/><Relationship Id="rId181" Type="http://schemas.openxmlformats.org/officeDocument/2006/relationships/hyperlink" Target="https://www.amazon.in/ZELFO-Smart-Silicone-Compatible-ColorFit/dp/B0C3LP4XYW/ref=sr_1_19" TargetMode="External"/><Relationship Id="rId182" Type="http://schemas.openxmlformats.org/officeDocument/2006/relationships/hyperlink" Target="https://www.amazon.in/Noise-Smartwatch-Diamond-Metallic-Display/dp/B0C5X2JV72/ref=sr_1_20" TargetMode="External"/><Relationship Id="rId183" Type="http://schemas.openxmlformats.org/officeDocument/2006/relationships/hyperlink" Target="https://www.amazon.in/Noise-NoiseFit-Halo-Smartwatch-Vintage/dp/B0FQVDMGJ4/ref=sr_1_21" TargetMode="External"/><Relationship Id="rId184" Type="http://schemas.openxmlformats.org/officeDocument/2006/relationships/hyperlink" Target="https://www.amazon.in/Noise-Biggest-personalization-Productivity-Rosegold/dp/B0CFYP7XR3/ref=sr_1_22" TargetMode="External"/><Relationship Id="rId185" Type="http://schemas.openxmlformats.org/officeDocument/2006/relationships/hyperlink" Target="https://www.amazon.in/dp/B0CQRRNNS4" TargetMode="External"/><Relationship Id="rId186" Type="http://schemas.openxmlformats.org/officeDocument/2006/relationships/hyperlink" Target="https://www.amazon.in/dp/B0B6BLTGTT" TargetMode="External"/><Relationship Id="rId187" Type="http://schemas.openxmlformats.org/officeDocument/2006/relationships/hyperlink" Target="https://www.amazon.in/ACM-Silicone-Compatible-Colorfit-Smartwatch/dp/B0C3VG4LJF/ref=sr_1_20" TargetMode="External"/><Relationship Id="rId188" Type="http://schemas.openxmlformats.org/officeDocument/2006/relationships/hyperlink" Target="https://www.amazon.in/CERLINK-Magnetic-Charging-Cable-ColorFit/dp/B0DXD6KV4D/ref=sr_1_21" TargetMode="External"/><Relationship Id="rId189" Type="http://schemas.openxmlformats.org/officeDocument/2006/relationships/hyperlink" Target="https://www.amazon.in/ACM-Stainless-compatible-Evolve-Smartwatch/dp/B0BG5H62DN/ref=sr_1_22" TargetMode="External"/><Relationship Id="rId190" Type="http://schemas.openxmlformats.org/officeDocument/2006/relationships/hyperlink" Target="https://www.amazon.in/PROTECTERR-Smartwatch-Noise-ColorFit-Ultra/dp/B0GTPSFZ9R/ref=sr_1_23" TargetMode="External"/><Relationship Id="rId191" Type="http://schemas.openxmlformats.org/officeDocument/2006/relationships/hyperlink" Target="https://www.amazon.in/MELFO-Smart-Watch-Compatible-ColorFit/dp/B0C3LP2P1S/ref=sr_1_24" TargetMode="External"/><Relationship Id="rId192" Type="http://schemas.openxmlformats.org/officeDocument/2006/relationships/hyperlink" Target="https://www.amazon.in/Silicone-Magnetic-Watch-Band-Compatible/dp/B0C1Y19GTZ/ref=sr_1_25" TargetMode="External"/><Relationship Id="rId193" Type="http://schemas.openxmlformats.org/officeDocument/2006/relationships/hyperlink" Target="https://www.amazon.in/TKM-Silicone-Compatible-Smartwatch-Replacement/dp/B0D98HL4BJ/ref=sr_1_26" TargetMode="External"/><Relationship Id="rId194" Type="http://schemas.openxmlformats.org/officeDocument/2006/relationships/hyperlink" Target="https://www.amazon.in/MELFO-Smart-Watch-Compatible-ColorFit/dp/B0C3LNL5WQ/ref=sr_1_27" TargetMode="External"/><Relationship Id="rId195" Type="http://schemas.openxmlformats.org/officeDocument/2006/relationships/hyperlink" Target="https://www.amazon.in/Sounce-Magnetic-Charging-ColorFit-Smartwatches/dp/B0CX97FMBR/ref=sr_1_28" TargetMode="External"/><Relationship Id="rId196" Type="http://schemas.openxmlformats.org/officeDocument/2006/relationships/hyperlink" Target="https://www.amazon.in/Colorcase-Smart-Stainless-Compatible-ColorFit/dp/B0F7FNNNJD/ref=sr_1_29" TargetMode="External"/><Relationship Id="rId197" Type="http://schemas.openxmlformats.org/officeDocument/2006/relationships/hyperlink" Target="https://www.amazon.in/22mm-Watch-Belt-Band-Compatible/dp/B0BNLTW9BL/ref=sr_1_30" TargetMode="External"/><Relationship Id="rId198" Type="http://schemas.openxmlformats.org/officeDocument/2006/relationships/hyperlink" Target="https://www.amazon.in/AONES-Magnetic-Compatible-ColorFit-SmartWatch/dp/B0C6GNC9D5/ref=sr_1_31" TargetMode="External"/><Relationship Id="rId199" Type="http://schemas.openxmlformats.org/officeDocument/2006/relationships/hyperlink" Target="https://www.amazon.in/HELLOSCREEN-Noise-Ultra-1-96-inch/dp/B0FHF5VCPR/ref=sr_1_32" TargetMode="External"/><Relationship Id="rId200" Type="http://schemas.openxmlformats.org/officeDocument/2006/relationships/hyperlink" Target="https://www.amazon.in/Noise-Original-Watch-ColorFit-Smartwatches/dp/B0H83PPKPD/ref=sr_1_33" TargetMode="External"/><Relationship Id="rId201" Type="http://schemas.openxmlformats.org/officeDocument/2006/relationships/hyperlink" Target="https://www.amazon.in/Wisely-Noise-ColorFit-Ultra-installation/dp/B0C3WJC28Y/ref=sr_1_34" TargetMode="External"/><Relationship Id="rId202" Type="http://schemas.openxmlformats.org/officeDocument/2006/relationships/hyperlink" Target="https://www.amazon.in/Colorcase-Smart-Watch-Compatible-ColorFit/dp/B0F6KMCBJJ/ref=sr_1_35" TargetMode="External"/><Relationship Id="rId203" Type="http://schemas.openxmlformats.org/officeDocument/2006/relationships/hyperlink" Target="https://www.amazon.in/dp/B0GT5BKZB2" TargetMode="External"/><Relationship Id="rId204" Type="http://schemas.openxmlformats.org/officeDocument/2006/relationships/hyperlink" Target="https://www.amazon.in/dp/B0D6N83X6D" TargetMode="External"/><Relationship Id="rId205" Type="http://schemas.openxmlformats.org/officeDocument/2006/relationships/hyperlink" Target="https://www.amazon.in/Noise-Launched-Functional-Rotating-Brightness/dp/B0GT57JPXX/ref=sr_1_3" TargetMode="External"/><Relationship Id="rId206" Type="http://schemas.openxmlformats.org/officeDocument/2006/relationships/hyperlink" Target="https://www.amazon.in/Noise-Functional-Rotating-1000NITS-Brightness/dp/B0GZW8CTBF/ref=sr_1_4" TargetMode="External"/><Relationship Id="rId207" Type="http://schemas.openxmlformats.org/officeDocument/2006/relationships/hyperlink" Target="https://www.amazon.in/dp/B0FNCQ7MLT" TargetMode="External"/><Relationship Id="rId208" Type="http://schemas.openxmlformats.org/officeDocument/2006/relationships/hyperlink" Target="https://www.amazon.in/dp/B0DMF23B83" TargetMode="External"/><Relationship Id="rId209" Type="http://schemas.openxmlformats.org/officeDocument/2006/relationships/hyperlink" Target="https://www.amazon.in/Noise-Smartwatch-Calling-Tracking-Monitoring/dp/B0CQ4K11B1/ref=sr_1_7" TargetMode="External"/><Relationship Id="rId210" Type="http://schemas.openxmlformats.org/officeDocument/2006/relationships/hyperlink" Target="https://www.amazon.in/Fastrack-Jupiter-Display-Charging-Calling/dp/B0GLPF5GBP/ref=sr_1_8" TargetMode="External"/><Relationship Id="rId211" Type="http://schemas.openxmlformats.org/officeDocument/2006/relationships/hyperlink" Target="https://www.amazon.in/dp/B0GMKL443R" TargetMode="External"/><Relationship Id="rId212" Type="http://schemas.openxmlformats.org/officeDocument/2006/relationships/hyperlink" Target="https://www.amazon.in/dp/B0CG1Y3336" TargetMode="External"/><Relationship Id="rId213" Type="http://schemas.openxmlformats.org/officeDocument/2006/relationships/hyperlink" Target="https://www.amazon.in/Fastrack-Jupiter-Display-Charging-Calling/dp/B0GLPC25J2/ref=sr_1_11" TargetMode="External"/><Relationship Id="rId214" Type="http://schemas.openxmlformats.org/officeDocument/2006/relationships/hyperlink" Target="https://www.amazon.in/FCS-Coverage-Ultrathin-flexible-protector/dp/B0H6P999WM/ref=sr_1_12" TargetMode="External"/><Relationship Id="rId215" Type="http://schemas.openxmlformats.org/officeDocument/2006/relationships/hyperlink" Target="https://www.amazon.in/ACM-Watch-Strap-compatible-Smartwatch/dp/B0H4W189FT/ref=sr_1_13" TargetMode="External"/><Relationship Id="rId216" Type="http://schemas.openxmlformats.org/officeDocument/2006/relationships/hyperlink" Target="https://www.amazon.in/ACM-Watch-Strap-compatible-Smartwatch/dp/B0H4W5SZVW/ref=sr_1_14" TargetMode="External"/><Relationship Id="rId217" Type="http://schemas.openxmlformats.org/officeDocument/2006/relationships/hyperlink" Target="https://www.amazon.in/NoiseFit-Bluetooth-Functional-Assistance-Tracker/dp/B0BMVRPGH5/ref=sr_1_16" TargetMode="External"/><Relationship Id="rId218" Type="http://schemas.openxmlformats.org/officeDocument/2006/relationships/hyperlink" Target="https://www.amazon.in/Titan-Smartwatch-assistant-Hydration-Multisports/dp/B0GVYWSJHY/ref=sr_1_17" TargetMode="External"/><Relationship Id="rId219" Type="http://schemas.openxmlformats.org/officeDocument/2006/relationships/hyperlink" Target="https://www.amazon.in/Noise-Assistant-Bluetooth-Calling-Stainless/dp/B0F8JF1R8X/ref=sr_1_18" TargetMode="External"/><Relationship Id="rId220" Type="http://schemas.openxmlformats.org/officeDocument/2006/relationships/hyperlink" Target="https://www.amazon.in/Noise-Vibrant-Bluetooth-Metallic-Assistance/dp/B0DNQQ67JY/ref=sr_1_19" TargetMode="External"/><Relationship Id="rId221" Type="http://schemas.openxmlformats.org/officeDocument/2006/relationships/hyperlink" Target="https://www.amazon.in/TOMBIK-Protector-Compatible-Bubble-Free-Protective/dp/B0H4H2ZQM5/ref=sr_1_20" TargetMode="External"/><Relationship Id="rId222" Type="http://schemas.openxmlformats.org/officeDocument/2006/relationships/hyperlink" Target="https://www.amazon.in/Noise-Integration-Stainless-Emergency-Connectivity/dp/B0FNCQXYBY/ref=sr_1_21" TargetMode="External"/><Relationship Id="rId223" Type="http://schemas.openxmlformats.org/officeDocument/2006/relationships/hyperlink" Target="https://www.amazon.in/Noise-NoiseFit-Halo-Smartwatch-Black/dp/B0FQV9Q4N6/ref=sr_1_22" TargetMode="External"/><Relationship Id="rId224" Type="http://schemas.openxmlformats.org/officeDocument/2006/relationships/hyperlink" Target="https://www.amazon.in/dp/B0F992RNJF" TargetMode="External"/><Relationship Id="rId225" Type="http://schemas.openxmlformats.org/officeDocument/2006/relationships/hyperlink" Target="https://www.amazon.in/Noise-Compatible-Geofencing-Monitoring-Emergency/dp/B0GSRN8KLC/ref=sr_1_20" TargetMode="External"/><Relationship Id="rId226" Type="http://schemas.openxmlformats.org/officeDocument/2006/relationships/hyperlink" Target="https://www.amazon.in/ACM-Watch-Strap-compatible-Smartwatch/dp/B0H4WDTD9X/ref=sr_1_21" TargetMode="External"/><Relationship Id="rId227" Type="http://schemas.openxmlformats.org/officeDocument/2006/relationships/hyperlink" Target="https://www.amazon.in/dp/B0F2Z2399K" TargetMode="External"/><Relationship Id="rId228" Type="http://schemas.openxmlformats.org/officeDocument/2006/relationships/hyperlink" Target="https://www.amazon.in/dp/B0CG1VX5P4" TargetMode="External"/><Relationship Id="rId229" Type="http://schemas.openxmlformats.org/officeDocument/2006/relationships/hyperlink" Target="https://www.amazon.in/YODI-Compatible-Smartwatch-Accessories-STURDY-GREEN/dp/B0H83BLZZQ/ref=sr_1_24" TargetMode="External"/><Relationship Id="rId230" Type="http://schemas.openxmlformats.org/officeDocument/2006/relationships/hyperlink" Target="https://www.amazon.in/Noise-Display-Functional-Premium-Metallic/dp/B0D6GK2871/ref=sr_1_25" TargetMode="External"/><Relationship Id="rId231" Type="http://schemas.openxmlformats.org/officeDocument/2006/relationships/hyperlink" Target="https://www.amazon.in/dp/B0DT952P8J" TargetMode="External"/><Relationship Id="rId232" Type="http://schemas.openxmlformats.org/officeDocument/2006/relationships/hyperlink" Target="https://www.amazon.in/Noise-Launched-Endeavour-Display-Calling/dp/B0CG1T39PB/ref=sr_1_28" TargetMode="External"/><Relationship Id="rId233" Type="http://schemas.openxmlformats.org/officeDocument/2006/relationships/hyperlink" Target="https://www.amazon.in/YODI-Colourful-Compatible-Smartwatch-STARLIGHT/dp/B0H7XWTL16/ref=sr_1_29" TargetMode="External"/><Relationship Id="rId234" Type="http://schemas.openxmlformats.org/officeDocument/2006/relationships/hyperlink" Target="https://www.amazon.in/dp/B0DB5YVY2X" TargetMode="External"/><Relationship Id="rId235" Type="http://schemas.openxmlformats.org/officeDocument/2006/relationships/hyperlink" Target="https://www.amazon.in/dp/B0D6YDPS29" TargetMode="External"/><Relationship Id="rId236" Type="http://schemas.openxmlformats.org/officeDocument/2006/relationships/hyperlink" Target="https://www.amazon.in/Noise-Advanced-Bluetooth-Brightness-Smartwatch/dp/B0B6BPTFT5/ref=sr_1_32" TargetMode="External"/><Relationship Id="rId237" Type="http://schemas.openxmlformats.org/officeDocument/2006/relationships/hyperlink" Target="https://www.amazon.in/Noise-Immersive-Smartwatch-Resistant-Functional/dp/B0F4RGHCF2/ref=sr_1_33" TargetMode="External"/><Relationship Id="rId238" Type="http://schemas.openxmlformats.org/officeDocument/2006/relationships/hyperlink" Target="https://www.amazon.in/Noise-Launched-Functional-Stainless-Transition/dp/B0DBZT67WS/ref=sr_1_34" TargetMode="External"/><Relationship Id="rId239" Type="http://schemas.openxmlformats.org/officeDocument/2006/relationships/hyperlink" Target="https://www.amazon.in/Saco-Anti-Glare-Hydrogel-Screen-Compatible/dp/B0HD7YS8P5/ref=sr_1_35" TargetMode="External"/><Relationship Id="rId240" Type="http://schemas.openxmlformats.org/officeDocument/2006/relationships/hyperlink" Target="https://www.amazon.in/Saco-Hydrogel-Screen-Guard-Compatible/dp/B0HD7TBDZ7/ref=sr_1_36" TargetMode="External"/><Relationship Id="rId241" Type="http://schemas.openxmlformats.org/officeDocument/2006/relationships/hyperlink" Target="https://www.amazon.in/YODI-Magnetic-Buckle-Silicone-Smartwatch/dp/B0H7XS1TTJ/ref=sr_1_37" TargetMode="External"/><Relationship Id="rId242" Type="http://schemas.openxmlformats.org/officeDocument/2006/relationships/hyperlink" Target="https://www.amazon.in/Noise-Smartwatch-Tracking-Temperature-Location/dp/B0FWCRMYGT/ref=sr_1_38" TargetMode="External"/><Relationship Id="rId243" Type="http://schemas.openxmlformats.org/officeDocument/2006/relationships/hyperlink" Target="https://www.amazon.in/Noise-Display-Bluetooth-Assistance-Metallic/dp/B0CQHY1S1V/ref=sr_1_39" TargetMode="External"/><Relationship Id="rId244" Type="http://schemas.openxmlformats.org/officeDocument/2006/relationships/hyperlink" Target="https://www.amazon.in/ACM-Watch-Strap-compatible-Smartwatch/dp/B0H4YXF5TV/ref=sr_1_40" TargetMode="External"/><Relationship Id="rId245" Type="http://schemas.openxmlformats.org/officeDocument/2006/relationships/hyperlink" Target="https://www.amazon.in/Amazfit-Premium-Smartchoice-Running-Sapphire/dp/B0GM29C6PW/ref=sr_1_41" TargetMode="External"/><Relationship Id="rId246" Type="http://schemas.openxmlformats.org/officeDocument/2006/relationships/hyperlink" Target="https://www.amazon.in/dp/B0FZ9YD8MN" TargetMode="External"/><Relationship Id="rId247" Type="http://schemas.openxmlformats.org/officeDocument/2006/relationships/hyperlink" Target="https://www.amazon.in/dp/B0CQJZD55X" TargetMode="External"/><Relationship Id="rId248" Type="http://schemas.openxmlformats.org/officeDocument/2006/relationships/hyperlink" Target="https://www.amazon.in/OnePlus-Playback-Translation-Dual-Device-Connectivity/dp/B0FMDL81GS/ref=sr_1_3" TargetMode="External"/><Relationship Id="rId249" Type="http://schemas.openxmlformats.org/officeDocument/2006/relationships/hyperlink" Target="https://www.amazon.in/Kratos-TW02-Isolation-Bluetooth-Assistant/dp/B0G2H4R5YB/ref=sr_1_4" TargetMode="External"/><Relationship Id="rId250" Type="http://schemas.openxmlformats.org/officeDocument/2006/relationships/hyperlink" Target="https://www.amazon.in/dp/B0DK979YJ7" TargetMode="External"/><Relationship Id="rId251" Type="http://schemas.openxmlformats.org/officeDocument/2006/relationships/hyperlink" Target="https://www.amazon.in/dp/B0GCNML31G" TargetMode="External"/><Relationship Id="rId252" Type="http://schemas.openxmlformats.org/officeDocument/2006/relationships/hyperlink" Target="https://www.amazon.in/Philips-Bluetooth-Wireless-Assistant-Indicator/dp/B0FHKHT717/ref=sr_1_7" TargetMode="External"/><Relationship Id="rId253" Type="http://schemas.openxmlformats.org/officeDocument/2006/relationships/hyperlink" Target="https://www.amazon.in/HAMMER-Wireless-Charging-Connectivity-Resistant/dp/B0FZD7ZJGD/ref=sr_1_8" TargetMode="External"/><Relationship Id="rId254" Type="http://schemas.openxmlformats.org/officeDocument/2006/relationships/hyperlink" Target="https://www.amazon.in/dp/B0DS2XNXZB" TargetMode="External"/><Relationship Id="rId255" Type="http://schemas.openxmlformats.org/officeDocument/2006/relationships/hyperlink" Target="https://www.amazon.in/dp/B0FHW7PX1N" TargetMode="External"/><Relationship Id="rId256" Type="http://schemas.openxmlformats.org/officeDocument/2006/relationships/hyperlink" Target="https://www.amazon.in/boAt-Airdopes-Plus-311-Bluetooth/dp/B0DZXX6SKP/ref=sr_1_11" TargetMode="External"/><Relationship Id="rId257" Type="http://schemas.openxmlformats.org/officeDocument/2006/relationships/hyperlink" Target="https://www.amazon.in/OnePlus-Wireless-Bluetooth-Cancellation-Harmonic/dp/B0DFQ1R3W4/ref=sr_1_12" TargetMode="External"/><Relationship Id="rId258" Type="http://schemas.openxmlformats.org/officeDocument/2006/relationships/hyperlink" Target="https://www.amazon.in/Noise-Launched-Wireless-Playtime-Instacharge/dp/B0CQJXC3SP/ref=sr_1_13" TargetMode="External"/><Relationship Id="rId259" Type="http://schemas.openxmlformats.org/officeDocument/2006/relationships/hyperlink" Target="https://www.amazon.in/JBL-Wireless-BluetoothV5-3-Cancellation-Customized/dp/B0DHL63KWK/ref=sr_1_14" TargetMode="External"/><Relationship Id="rId260" Type="http://schemas.openxmlformats.org/officeDocument/2006/relationships/hyperlink" Target="https://www.amazon.in/VarniEnterprise-Bluetooth-Charging-Reduction-Earphones/dp/B0HCC9J9WV/ref=sr_1_15" TargetMode="External"/><Relationship Id="rId261" Type="http://schemas.openxmlformats.org/officeDocument/2006/relationships/hyperlink" Target="https://www.amazon.in/boAt-Airdopes-Bluetooth-Wireless-Earphones/dp/B0FC2Y3XGV/ref=sr_1_16" TargetMode="External"/><Relationship Id="rId262" Type="http://schemas.openxmlformats.org/officeDocument/2006/relationships/hyperlink" Target="https://www.amazon.in/Boult-Audio-Wireless-Playtime-Bluetooth/dp/B0BQN2RMJF/ref=sr_1_17" TargetMode="External"/><Relationship Id="rId263" Type="http://schemas.openxmlformats.org/officeDocument/2006/relationships/hyperlink" Target="https://www.amazon.in/boAt-Airdopes-Alpha-Wireless-Earbuds/dp/B0C3ZYFZ77/ref=sr_1_18" TargetMode="External"/><Relationship Id="rId264" Type="http://schemas.openxmlformats.org/officeDocument/2006/relationships/hyperlink" Target="https://www.amazon.in/Mivi-Marathon-Playtime-Wireless-Bluetooth/dp/B0FTFMNYBV/ref=sr_1_19" TargetMode="External"/><Relationship Id="rId265" Type="http://schemas.openxmlformats.org/officeDocument/2006/relationships/hyperlink" Target="https://www.amazon.in/boAt-Airdopes-Surround-AI-ENxTM-Bluetooth/dp/B0GZMYZW7R/ref=sr_1_21" TargetMode="External"/><Relationship Id="rId266" Type="http://schemas.openxmlformats.org/officeDocument/2006/relationships/hyperlink" Target="https://www.amazon.in/boAt-Nirvana-Playback-Technology-Detection/dp/B0BW8RVQ3V/ref=sr_1_22" TargetMode="External"/><Relationship Id="rId267" Type="http://schemas.openxmlformats.org/officeDocument/2006/relationships/hyperlink" Target="https://www.amazon.in/dp/B0CQJWQWD9" TargetMode="External"/><Relationship Id="rId268" Type="http://schemas.openxmlformats.org/officeDocument/2006/relationships/hyperlink" Target="https://www.amazon.in/dp/B0GCNK81FR" TargetMode="External"/><Relationship Id="rId269" Type="http://schemas.openxmlformats.org/officeDocument/2006/relationships/hyperlink" Target="https://www.amazon.in/Portronics-Harmonics-Wireless-Bluetooth-Resistance/dp/B0CV5L6Y8Y/ref=sr_1_20" TargetMode="External"/><Relationship Id="rId270" Type="http://schemas.openxmlformats.org/officeDocument/2006/relationships/hyperlink" Target="https://www.amazon.in/Airdopes-Battery-Bluetooth-Wireless-Earphones/dp/B0FL2SJTB2/ref=sr_1_21" TargetMode="External"/><Relationship Id="rId271" Type="http://schemas.openxmlformats.org/officeDocument/2006/relationships/hyperlink" Target="https://www.amazon.in/dp/B0CYPYZF64" TargetMode="External"/><Relationship Id="rId272" Type="http://schemas.openxmlformats.org/officeDocument/2006/relationships/hyperlink" Target="https://www.amazon.in/pTron-Bassbuds-Bluetooth-Headphones-Assistant/dp/B0D78XSMSM/ref=sr_1_24" TargetMode="External"/><Relationship Id="rId273" Type="http://schemas.openxmlformats.org/officeDocument/2006/relationships/hyperlink" Target="https://www.amazon.in/Airdopes-Drivers-Bluetooth-Wireless-Earphones/dp/B0FPLP7SMZ/ref=sr_1_25" TargetMode="External"/><Relationship Id="rId274" Type="http://schemas.openxmlformats.org/officeDocument/2006/relationships/hyperlink" Target="https://www.amazon.in/dp/B0GHQD8KP2" TargetMode="External"/><Relationship Id="rId275" Type="http://schemas.openxmlformats.org/officeDocument/2006/relationships/hyperlink" Target="https://www.amazon.in/dp/B0GSZV3415" TargetMode="External"/><Relationship Id="rId276" Type="http://schemas.openxmlformats.org/officeDocument/2006/relationships/hyperlink" Target="https://www.amazon.in/realme-Wireless-Earbuds-Spatial-Charging/dp/B0DBGNY4XP/ref=sr_1_28" TargetMode="External"/><Relationship Id="rId277" Type="http://schemas.openxmlformats.org/officeDocument/2006/relationships/hyperlink" Target="https://www.amazon.in/Kratos-Isolation-Bluetooth-Assistant-Earphones/dp/B0GCN923RQ/ref=sr_1_29" TargetMode="External"/><Relationship Id="rId278" Type="http://schemas.openxmlformats.org/officeDocument/2006/relationships/hyperlink" Target="https://www.amazon.in/dp/B0CFYJ8HRS" TargetMode="External"/><Relationship Id="rId279" Type="http://schemas.openxmlformats.org/officeDocument/2006/relationships/hyperlink" Target="https://www.amazon.in/boAt-Airdopes-141-Streaming-Bluetooth/dp/B0F8BVSK21/ref=sr_1_32" TargetMode="External"/><Relationship Id="rId280" Type="http://schemas.openxmlformats.org/officeDocument/2006/relationships/hyperlink" Target="https://www.amazon.in/Mivi-Playtime-Bluetooth-Earphones-Wireless/dp/B0G2GGLTMF/ref=sr_1_33" TargetMode="External"/><Relationship Id="rId281" Type="http://schemas.openxmlformats.org/officeDocument/2006/relationships/hyperlink" Target="https://www.amazon.in/Kratos-Isolation-Bluetooth-Assistant-Earphones/dp/B0GCSKS7QG/ref=sr_1_34" TargetMode="External"/><Relationship Id="rId282" Type="http://schemas.openxmlformats.org/officeDocument/2006/relationships/hyperlink" Target="https://www.amazon.in/realme-Dynamic-Drivers-Playtime-Resistant/dp/B0GDQ7Y8Q5/ref=sr_1_35" TargetMode="External"/><Relationship Id="rId283" Type="http://schemas.openxmlformats.org/officeDocument/2006/relationships/hyperlink" Target="https://www.amazon.in/Samsung-Enabled-Enriched-Battery-Controls/dp/B0FDGSYR17/ref=sr_1_36" TargetMode="External"/><Relationship Id="rId284" Type="http://schemas.openxmlformats.org/officeDocument/2006/relationships/hyperlink" Target="https://www.amazon.in/Noise-Wireless-Earbuds-Playtime-Latency/dp/B0FZ9SWB7S/ref=sr_1_37" TargetMode="External"/><Relationship Id="rId285" Type="http://schemas.openxmlformats.org/officeDocument/2006/relationships/hyperlink" Target="https://www.amazon.in/Noise-Wireless-Earbuds-Playtime-Instacharge/dp/B0DS2TTRQC/ref=sr_1_38" TargetMode="External"/><Relationship Id="rId286" Type="http://schemas.openxmlformats.org/officeDocument/2006/relationships/hyperlink" Target="https://www.amazon.in/Sony-WF-1000XM5-Cancelling-Headphones-Multi-Point/dp/B0C33XXS56/ref=sr_1_39" TargetMode="External"/><Relationship Id="rId287" Type="http://schemas.openxmlformats.org/officeDocument/2006/relationships/hyperlink" Target="https://www.amazon.in/boAt-Airdopes-300-Multipoint-Connection/dp/B0D3LBFX1W/ref=sr_1_40" TargetMode="External"/><Relationship Id="rId288" Type="http://schemas.openxmlformats.org/officeDocument/2006/relationships/hyperlink" Target="https://www.amazon.in/boAt-Airdopes-ProClip-Conduction-Feather-Light/dp/B0GZN7C6X8/ref=sr_1_41" TargetMode="External"/><Relationship Id="rId289" Type="http://schemas.openxmlformats.org/officeDocument/2006/relationships/hyperlink" Target="https://www.amazon.in/dp/B0FN7J4997" TargetMode="External"/><Relationship Id="rId290" Type="http://schemas.openxmlformats.org/officeDocument/2006/relationships/hyperlink" Target="https://www.amazon.in/dp/B0CQJWMMG7" TargetMode="External"/><Relationship Id="rId291" Type="http://schemas.openxmlformats.org/officeDocument/2006/relationships/hyperlink" Target="https://www.amazon.in/OnePlus-Playback-Translation-Dual-Device-Connectivity/dp/B0FMDL81GS/ref=sr_1_3" TargetMode="External"/><Relationship Id="rId292" Type="http://schemas.openxmlformats.org/officeDocument/2006/relationships/hyperlink" Target="https://www.amazon.in/realme-Wireless-Earbuds-Dynamic-Playback/dp/B0FBR6HGXM/ref=sr_1_4" TargetMode="External"/><Relationship Id="rId293" Type="http://schemas.openxmlformats.org/officeDocument/2006/relationships/hyperlink" Target="https://www.amazon.in/dp/B0FTZD16TR" TargetMode="External"/><Relationship Id="rId294" Type="http://schemas.openxmlformats.org/officeDocument/2006/relationships/hyperlink" Target="https://www.amazon.in/dp/B0D4QLT8WG" TargetMode="External"/><Relationship Id="rId295" Type="http://schemas.openxmlformats.org/officeDocument/2006/relationships/hyperlink" Target="https://www.amazon.in/HAMMER-Wireless-Transparency-Titanium-Semi-Transparent/dp/B0FQC3DVWB/ref=sr_1_7" TargetMode="External"/><Relationship Id="rId296" Type="http://schemas.openxmlformats.org/officeDocument/2006/relationships/hyperlink" Target="https://www.amazon.in/realme-Wireless-Earbuds-Spatial-Charging/dp/B0DBGP48NW/ref=sr_1_8" TargetMode="External"/><Relationship Id="rId297" Type="http://schemas.openxmlformats.org/officeDocument/2006/relationships/hyperlink" Target="https://www.amazon.in/dp/B0H6B1L8N1" TargetMode="External"/><Relationship Id="rId298" Type="http://schemas.openxmlformats.org/officeDocument/2006/relationships/hyperlink" Target="https://www.amazon.in/dp/B0DNZPWVM7" TargetMode="External"/><Relationship Id="rId299" Type="http://schemas.openxmlformats.org/officeDocument/2006/relationships/hyperlink" Target="https://www.amazon.in/boAt-Airdopes-Bluetooth-Wireless-Earphones/dp/B0F5BDJG4C/ref=sr_1_11" TargetMode="External"/><Relationship Id="rId300" Type="http://schemas.openxmlformats.org/officeDocument/2006/relationships/hyperlink" Target="https://www.amazon.in/boAt-Nirvana-Ion-ANC-Cancellation/dp/B0CF5QFH77/ref=sr_1_12" TargetMode="External"/><Relationship Id="rId301" Type="http://schemas.openxmlformats.org/officeDocument/2006/relationships/hyperlink" Target="https://www.amazon.in/GOBOULT-Launched-Playtime-Bluetooth-Wireless/dp/B0H6B3HXXG/ref=sr_1_13" TargetMode="External"/><Relationship Id="rId302" Type="http://schemas.openxmlformats.org/officeDocument/2006/relationships/hyperlink" Target="https://www.amazon.in/OnePlus-Wireless-Bluetooth-Cancellation-Charging/dp/B0D7HZ3KK9/ref=sr_1_14" TargetMode="External"/><Relationship Id="rId303" Type="http://schemas.openxmlformats.org/officeDocument/2006/relationships/hyperlink" Target="https://www.amazon.in/JensiKidz-TWS-Bluetooth-Earbuds-Black/dp/B0HDVXNBX8/ref=sr_1_15" TargetMode="External"/><Relationship Id="rId304" Type="http://schemas.openxmlformats.org/officeDocument/2006/relationships/hyperlink" Target="https://www.amazon.in/Noise-Launched-Wireless-Metallic-Instacharge/dp/B0FN7L9JQ1/ref=sr_1_17" TargetMode="External"/><Relationship Id="rId305" Type="http://schemas.openxmlformats.org/officeDocument/2006/relationships/hyperlink" Target="https://www.amazon.in/GOBOULT-Playtime-Cancellation-Bluetooth-Wireless/dp/B0GRV6L413/ref=sr_1_18" TargetMode="External"/><Relationship Id="rId306" Type="http://schemas.openxmlformats.org/officeDocument/2006/relationships/hyperlink" Target="https://www.amazon.in/realme-Wireless-Playtime-Resistant-SlateGrey/dp/B0F5GV3Y87/ref=sr_1_19" TargetMode="External"/><Relationship Id="rId307" Type="http://schemas.openxmlformats.org/officeDocument/2006/relationships/hyperlink" Target="https://www.amazon.in/Samsung-Enabled-Enriched-Battery-Controls/dp/B0FDGVNSLH/ref=sr_1_20" TargetMode="External"/><Relationship Id="rId308" Type="http://schemas.openxmlformats.org/officeDocument/2006/relationships/hyperlink" Target="https://www.amazon.in/OnePlus-Real-time-Adaptive-Dual-Device-connectivity/dp/B0FCMPJQ1J/ref=sr_1_21" TargetMode="External"/><Relationship Id="rId309" Type="http://schemas.openxmlformats.org/officeDocument/2006/relationships/hyperlink" Target="https://www.amazon.in/boAt-Airdopes-Multidevice-Bluetooth-Earphones/dp/B0F8BWZSFD/ref=sr_1_22" TargetMode="External"/><Relationship Id="rId310" Type="http://schemas.openxmlformats.org/officeDocument/2006/relationships/hyperlink" Target="https://www.amazon.in/dp/B0DNZTC6K7" TargetMode="External"/><Relationship Id="rId311" Type="http://schemas.openxmlformats.org/officeDocument/2006/relationships/hyperlink" Target="https://www.amazon.in/dp/B0DD2VL3MX" TargetMode="External"/><Relationship Id="rId312" Type="http://schemas.openxmlformats.org/officeDocument/2006/relationships/hyperlink" Target="https://www.amazon.in/GOBOULT-Launched-Playtime-Bluetooth-Wireless/dp/B0H69QVCGL/ref=sr_1_20" TargetMode="External"/><Relationship Id="rId313" Type="http://schemas.openxmlformats.org/officeDocument/2006/relationships/hyperlink" Target="https://www.amazon.in/PHILIPS-TAT1150BK-94-Multipoint-ergonomically/dp/B0DXL76777/ref=sr_1_21" TargetMode="External"/><Relationship Id="rId314" Type="http://schemas.openxmlformats.org/officeDocument/2006/relationships/hyperlink" Target="https://www.amazon.in/realme-Dynamic-Drivers-Playtime-Resistant/dp/B0GDQ28DY5/ref=sr_1_24" TargetMode="External"/><Relationship Id="rId315" Type="http://schemas.openxmlformats.org/officeDocument/2006/relationships/hyperlink" Target="https://www.amazon.in/OnePlus-Nord-E518A-Raven-Black/dp/B0GQTSHLLR/ref=sr_1_25" TargetMode="External"/><Relationship Id="rId316" Type="http://schemas.openxmlformats.org/officeDocument/2006/relationships/hyperlink" Target="https://www.amazon.in/JBL-Wireless-BluetoothV5-3-Cancellation-Customized/dp/B0DHL63KWK/ref=sr_1_28" TargetMode="External"/><Relationship Id="rId317" Type="http://schemas.openxmlformats.org/officeDocument/2006/relationships/hyperlink" Target="https://www.amazon.in/GOBOULT-Playtime-Cancellation-Bluetooth-Wireless/dp/B0GRV5S7DW/ref=sr_1_29" TargetMode="External"/><Relationship Id="rId318" Type="http://schemas.openxmlformats.org/officeDocument/2006/relationships/hyperlink" Target="https://www.amazon.in/dp/B0FKTN7TR8" TargetMode="External"/><Relationship Id="rId319" Type="http://schemas.openxmlformats.org/officeDocument/2006/relationships/hyperlink" Target="https://www.amazon.in/GOBOULT-Wireless-Earbuds-Cancellation-Playtime/dp/B0F9L6VF7G/ref=sr_1_32" TargetMode="External"/><Relationship Id="rId320" Type="http://schemas.openxmlformats.org/officeDocument/2006/relationships/hyperlink" Target="https://www.amazon.in/boAt-Tracking-Bluetooth-Wireless-Earphones/dp/B0DBHBZZTN/ref=sr_1_33" TargetMode="External"/><Relationship Id="rId321" Type="http://schemas.openxmlformats.org/officeDocument/2006/relationships/hyperlink" Target="https://www.amazon.in/GOBOULT-Earbuds-Drivers-Playtime-Support/dp/B0GJ5Z3XKS/ref=sr_1_34" TargetMode="External"/><Relationship Id="rId322" Type="http://schemas.openxmlformats.org/officeDocument/2006/relationships/hyperlink" Target="https://www.amazon.in/JBL-Wireless-BluetoothV5-3-Cancellation-Customized/dp/B0DHL93XCN/ref=sr_1_35" TargetMode="External"/><Relationship Id="rId323" Type="http://schemas.openxmlformats.org/officeDocument/2006/relationships/hyperlink" Target="https://www.amazon.in/boAt-Cancellation-Multipoint-Connectivity-Bluetooth/dp/B0FB3J8M6J/ref=sr_1_36" TargetMode="External"/><Relationship Id="rId324" Type="http://schemas.openxmlformats.org/officeDocument/2006/relationships/hyperlink" Target="https://www.amazon.in/Noise-Spatial-Playtime-Instacharge-Metallic/dp/B0GWD513TF/ref=sr_1_37" TargetMode="External"/><Relationship Id="rId325" Type="http://schemas.openxmlformats.org/officeDocument/2006/relationships/hyperlink" Target="https://www.amazon.in/JBL-Playtime-Customized-Headphones-Personi-Fi/dp/B0DK3RXTW4/ref=sr_1_38" TargetMode="External"/><Relationship Id="rId326" Type="http://schemas.openxmlformats.org/officeDocument/2006/relationships/hyperlink" Target="https://www.amazon.in/CrossBeats-Hertz-Earphones-Bluetooth-Cancellation/dp/B0G6D8R6XM/ref=sr_1_39" TargetMode="External"/><Relationship Id="rId327" Type="http://schemas.openxmlformats.org/officeDocument/2006/relationships/hyperlink" Target="https://www.amazon.in/iQOO-Cancellation-Charging-Playtime-Playback/dp/B07WDKJKSP/ref=sr_1_40" TargetMode="External"/><Relationship Id="rId328" Type="http://schemas.openxmlformats.org/officeDocument/2006/relationships/hyperlink" Target="https://www.amazon.in/Mivi-Marathon-Playtime-Wireless-Bluetooth/dp/B0FTFMNYBV/ref=sr_1_41" TargetMode="External"/><Relationship Id="rId329" Type="http://schemas.openxmlformats.org/officeDocument/2006/relationships/hyperlink" Target="https://www.amazon.in/dp/B0FZ9YLWP1" TargetMode="External"/><Relationship Id="rId330" Type="http://schemas.openxmlformats.org/officeDocument/2006/relationships/hyperlink" Target="https://www.amazon.in/dp/B0D4QLT8WG" TargetMode="External"/><Relationship Id="rId331" Type="http://schemas.openxmlformats.org/officeDocument/2006/relationships/hyperlink" Target="https://www.amazon.in/OnePlus-Playback-Translation-Dual-Device-Connectivity/dp/B0FMDL81GS/ref=sr_1_3" TargetMode="External"/><Relationship Id="rId332" Type="http://schemas.openxmlformats.org/officeDocument/2006/relationships/hyperlink" Target="https://www.amazon.in/Philips-Bluetooth-Wireless-Assistant-Indicator/dp/B0FHKHT717/ref=sr_1_4" TargetMode="External"/><Relationship Id="rId333" Type="http://schemas.openxmlformats.org/officeDocument/2006/relationships/hyperlink" Target="https://www.amazon.in/dp/B0DS2XNXZB" TargetMode="External"/><Relationship Id="rId334" Type="http://schemas.openxmlformats.org/officeDocument/2006/relationships/hyperlink" Target="https://www.amazon.in/dp/B0FHW7PX1N" TargetMode="External"/><Relationship Id="rId335" Type="http://schemas.openxmlformats.org/officeDocument/2006/relationships/hyperlink" Target="https://www.amazon.in/boAt-Nirvana-Technology-Detection-Bluetooth/dp/B0BW8TXJJ2/ref=sr_1_7" TargetMode="External"/><Relationship Id="rId336" Type="http://schemas.openxmlformats.org/officeDocument/2006/relationships/hyperlink" Target="https://www.amazon.in/boAt-Airdopes-Pocketable-Controls-Bluetooth/dp/B0GZNHB218/ref=sr_1_8" TargetMode="External"/><Relationship Id="rId337" Type="http://schemas.openxmlformats.org/officeDocument/2006/relationships/hyperlink" Target="https://www.amazon.in/dp/B0CFYB2154" TargetMode="External"/><Relationship Id="rId338" Type="http://schemas.openxmlformats.org/officeDocument/2006/relationships/hyperlink" Target="https://www.amazon.in/dp/B0CQJZD55X" TargetMode="External"/><Relationship Id="rId339" Type="http://schemas.openxmlformats.org/officeDocument/2006/relationships/hyperlink" Target="https://www.amazon.in/boAt-Airdopes-Surround-AI-ENxTM-Bluetooth/dp/B0GZMYZW7R/ref=sr_1_11" TargetMode="External"/><Relationship Id="rId340" Type="http://schemas.openxmlformats.org/officeDocument/2006/relationships/hyperlink" Target="https://www.amazon.in/Mivi-Marathon-Playtime-Wireless-Bluetooth/dp/B0FTFMNYBV/ref=sr_1_12" TargetMode="External"/><Relationship Id="rId341" Type="http://schemas.openxmlformats.org/officeDocument/2006/relationships/hyperlink" Target="https://www.amazon.in/realme-Bluetooth-Earbuds-Playback-Charging/dp/B0DZCRYG7R/ref=sr_1_13" TargetMode="External"/><Relationship Id="rId342" Type="http://schemas.openxmlformats.org/officeDocument/2006/relationships/hyperlink" Target="https://www.amazon.in/HAMMER-Playtime-Assistant-Lightweight-Dual-Tone/dp/B0GDTRYXYF/ref=sr_1_14" TargetMode="External"/><Relationship Id="rId343" Type="http://schemas.openxmlformats.org/officeDocument/2006/relationships/hyperlink" Target="https://www.amazon.in/realme-Bluetooth-Wireless-Playback-Charging/dp/B0DFWL8F5C/ref=sr_1_15" TargetMode="External"/><Relationship Id="rId344" Type="http://schemas.openxmlformats.org/officeDocument/2006/relationships/hyperlink" Target="https://www.amazon.in/Kratos-TW02-Isolation-Bluetooth-Assistant/dp/B0G2H4R5YB/ref=sr_1_16" TargetMode="External"/><Relationship Id="rId345" Type="http://schemas.openxmlformats.org/officeDocument/2006/relationships/hyperlink" Target="https://www.amazon.in/boAt-Airdopes-Bluetooth-Wireless-Earphones/dp/B0FC2Y3XGV/ref=sr_1_17" TargetMode="External"/><Relationship Id="rId346" Type="http://schemas.openxmlformats.org/officeDocument/2006/relationships/hyperlink" Target="https://www.amazon.in/boAt-Airdopes-Powerful-Playback-Bluetooth/dp/B0GXB9M2HW/ref=sr_1_18" TargetMode="External"/><Relationship Id="rId347" Type="http://schemas.openxmlformats.org/officeDocument/2006/relationships/hyperlink" Target="https://www.amazon.in/boAt-Airdopes-300-Multipoint-Connection/dp/B0D3DH8TSC/ref=sr_1_19" TargetMode="External"/><Relationship Id="rId348" Type="http://schemas.openxmlformats.org/officeDocument/2006/relationships/hyperlink" Target="https://www.amazon.in/boAt-Airdopes-ProClip-Conduction-Feather-Light/dp/B0GZN7C6X8/ref=sr_1_20" TargetMode="External"/><Relationship Id="rId349" Type="http://schemas.openxmlformats.org/officeDocument/2006/relationships/hyperlink" Target="https://www.amazon.in/Kratos-Isolation-Bluetooth-Assistant-Earphones/dp/B0GCMGNVJX/ref=sr_1_22" TargetMode="External"/><Relationship Id="rId350" Type="http://schemas.openxmlformats.org/officeDocument/2006/relationships/hyperlink" Target="https://www.amazon.in/dp/B0CQJWMMG7" TargetMode="External"/><Relationship Id="rId351" Type="http://schemas.openxmlformats.org/officeDocument/2006/relationships/hyperlink" Target="https://www.amazon.in/boAt-Airdopes-101v2-Pitch-Black/dp/B0DXPNVSSB/ref=sr_1_20" TargetMode="External"/><Relationship Id="rId352" Type="http://schemas.openxmlformats.org/officeDocument/2006/relationships/hyperlink" Target="https://www.amazon.in/VarniEnterprise-Bluetooth-Charging-Reduction-Earphones/dp/B0HCC9J9WV/ref=sr_1_21" TargetMode="External"/><Relationship Id="rId353" Type="http://schemas.openxmlformats.org/officeDocument/2006/relationships/hyperlink" Target="https://www.amazon.in/dp/B0GFH4C819" TargetMode="External"/><Relationship Id="rId354" Type="http://schemas.openxmlformats.org/officeDocument/2006/relationships/hyperlink" Target="https://www.amazon.in/boAt-Airdopes-Alpha-Wireless-Earbuds/dp/B0C3ZYFZ77/ref=sr_1_24" TargetMode="External"/><Relationship Id="rId355" Type="http://schemas.openxmlformats.org/officeDocument/2006/relationships/hyperlink" Target="https://www.amazon.in/Airdopes-131-Technology-Bluetooth-Immersive/dp/B088FKCD4J/ref=sr_1_25" TargetMode="External"/><Relationship Id="rId356" Type="http://schemas.openxmlformats.org/officeDocument/2006/relationships/hyperlink" Target="https://www.amazon.in/dp/B0GWGPYZVQ" TargetMode="External"/><Relationship Id="rId357" Type="http://schemas.openxmlformats.org/officeDocument/2006/relationships/hyperlink" Target="https://www.amazon.in/GOBOULT-Launched-Playtime-Bluetooth-Wireless/dp/B0H6B3HXXG/ref=sr_1_28" TargetMode="External"/><Relationship Id="rId358" Type="http://schemas.openxmlformats.org/officeDocument/2006/relationships/hyperlink" Target="https://www.amazon.in/Airdopes-141-Playtime-Resistance-Bluetooth/dp/B09N3ZNHTY/ref=sr_1_29" TargetMode="External"/><Relationship Id="rId359" Type="http://schemas.openxmlformats.org/officeDocument/2006/relationships/hyperlink" Target="https://www.amazon.in/dp/B0CFYF21QZ" TargetMode="External"/><Relationship Id="rId360" Type="http://schemas.openxmlformats.org/officeDocument/2006/relationships/hyperlink" Target="https://www.amazon.in/dp/B0GCNK81FR" TargetMode="External"/><Relationship Id="rId361" Type="http://schemas.openxmlformats.org/officeDocument/2006/relationships/hyperlink" Target="https://www.amazon.in/boAt-Airdopes-Powerful-Playback-Bluetooth/dp/B0GXBBD73Q/ref=sr_1_32" TargetMode="External"/><Relationship Id="rId362" Type="http://schemas.openxmlformats.org/officeDocument/2006/relationships/hyperlink" Target="https://www.amazon.in/Noise-Wireless-Metallic-Playtime-Instacharge/dp/B0D4QNLF6Y/ref=sr_1_33" TargetMode="External"/><Relationship Id="rId363" Type="http://schemas.openxmlformats.org/officeDocument/2006/relationships/hyperlink" Target="https://www.amazon.in/boAt-Airdopes-Plus-311-Bluetooth/dp/B0DZXX6SKP/ref=sr_1_34" TargetMode="External"/><Relationship Id="rId364" Type="http://schemas.openxmlformats.org/officeDocument/2006/relationships/hyperlink" Target="https://www.amazon.in/Wireless-Bluetooth-Reduction-Earphones-Charging/dp/B0HCCPSMC7/ref=sr_1_36" TargetMode="External"/><Relationship Id="rId365" Type="http://schemas.openxmlformats.org/officeDocument/2006/relationships/hyperlink" Target="https://www.amazon.in/boAt-Airdopes-Multidevice-Bluetooth-Earphones/dp/B0F8BVYRWS/ref=sr_1_37" TargetMode="External"/><Relationship Id="rId366" Type="http://schemas.openxmlformats.org/officeDocument/2006/relationships/hyperlink" Target="https://www.amazon.in/GOBOULT-Formerly-Bluetooth-Playtime-Charging/dp/B0DZ12NCD7/ref=sr_1_38" TargetMode="External"/><Relationship Id="rId367" Type="http://schemas.openxmlformats.org/officeDocument/2006/relationships/hyperlink" Target="https://www.amazon.in/pTron-Bassbuds-Bluetooth-Headphones-Assistant/dp/B0D78XSMSM/ref=sr_1_39" TargetMode="External"/><Relationship Id="rId368" Type="http://schemas.openxmlformats.org/officeDocument/2006/relationships/hyperlink" Target="https://www.amazon.in/Boult-Launched-Wireless-Breathing-Bluetooth/dp/B0CQ4MMP63/ref=sr_1_40" TargetMode="External"/><Relationship Id="rId369" Type="http://schemas.openxmlformats.org/officeDocument/2006/relationships/hyperlink" Target="https://www.amazon.in/boAt-Airdopes-121-Pro-Plus/dp/B0D49ZS9MT/ref=sr_1_41" TargetMode="External"/><Relationship Id="rId370" Type="http://schemas.openxmlformats.org/officeDocument/2006/relationships/hyperlink" Target="https://www.amazon.in/dp/B0DRVH17LV" TargetMode="External"/><Relationship Id="rId371" Type="http://schemas.openxmlformats.org/officeDocument/2006/relationships/hyperlink" Target="https://www.amazon.in/dp/B0DB5XSKLJ" TargetMode="External"/><Relationship Id="rId372" Type="http://schemas.openxmlformats.org/officeDocument/2006/relationships/hyperlink" Target="https://www.amazon.in/Smartwatch-Bluetooth-Calculator-Waterproof-Wallpaper/dp/B0H9NYH8DW/ref=sr_1_3" TargetMode="External"/><Relationship Id="rId373" Type="http://schemas.openxmlformats.org/officeDocument/2006/relationships/hyperlink" Target="https://www.amazon.in/Smartwatch-Bluetooth-Calculator-Waterproof-Wallpaper/dp/B0HDTVN4CN/ref=sr_1_4" TargetMode="External"/><Relationship Id="rId374" Type="http://schemas.openxmlformats.org/officeDocument/2006/relationships/hyperlink" Target="https://www.amazon.in/dp/B0GVYXJHZJ" TargetMode="External"/><Relationship Id="rId375" Type="http://schemas.openxmlformats.org/officeDocument/2006/relationships/hyperlink" Target="https://www.amazon.in/dp/B0CLR9LP6T" TargetMode="External"/><Relationship Id="rId376" Type="http://schemas.openxmlformats.org/officeDocument/2006/relationships/hyperlink" Target="https://www.amazon.in/Noise-Launched-Bluetooth-Calling-Tracking/dp/B0BJ72WZQ7/ref=sr_1_7" TargetMode="External"/><Relationship Id="rId377" Type="http://schemas.openxmlformats.org/officeDocument/2006/relationships/hyperlink" Target="https://www.amazon.in/Smartwatch-Display-Animated-Functional-Multiple/dp/B0FLF44GTQ/ref=sr_1_8" TargetMode="External"/><Relationship Id="rId378" Type="http://schemas.openxmlformats.org/officeDocument/2006/relationships/hyperlink" Target="https://www.amazon.in/dp/B0F5HSJY5H" TargetMode="External"/><Relationship Id="rId379" Type="http://schemas.openxmlformats.org/officeDocument/2006/relationships/hyperlink" Target="https://www.amazon.in/dp/B0FLYHD5MD" TargetMode="External"/><Relationship Id="rId380" Type="http://schemas.openxmlformats.org/officeDocument/2006/relationships/hyperlink" Target="https://www.amazon.in/Fire-Boltt-Launched-Display-Bluetooth-Assistance/dp/B0C497MSQN/ref=sr_1_11" TargetMode="External"/><Relationship Id="rId381" Type="http://schemas.openxmlformats.org/officeDocument/2006/relationships/hyperlink" Target="https://www.amazon.in/Fire&#8209;Boltt-Bluetooth-Assistant-Rotating-Waterproof/dp/B0CMF25TKG/ref=sr_1_12" TargetMode="External"/><Relationship Id="rId382" Type="http://schemas.openxmlformats.org/officeDocument/2006/relationships/hyperlink" Target="https://www.amazon.in/Noise-Launched-Bluetooth-Detection-Smartwatch/dp/B0CQRQK8L8/ref=sr_1_13" TargetMode="External"/><Relationship Id="rId383" Type="http://schemas.openxmlformats.org/officeDocument/2006/relationships/hyperlink" Target="https://www.amazon.in/Noise-Advanced-Bluetooth-Brightness-Smartwatch/dp/B0B6BMWKDP/ref=sr_1_14" TargetMode="External"/><Relationship Id="rId384" Type="http://schemas.openxmlformats.org/officeDocument/2006/relationships/hyperlink" Target="https://www.amazon.in/Smartwatch-Bluetooth-Calculator-Waterproof-Wallpaper/dp/B0HBXM4JNN/ref=sr_1_15" TargetMode="External"/><Relationship Id="rId385" Type="http://schemas.openxmlformats.org/officeDocument/2006/relationships/hyperlink" Target="https://www.amazon.in/YZTQU-Display-Bluetooth-Waterproof-Smartwatch/dp/B0HCBXF349/ref=sr_1_16" TargetMode="External"/><Relationship Id="rId386" Type="http://schemas.openxmlformats.org/officeDocument/2006/relationships/hyperlink" Target="https://www.amazon.in/Fire-Boltt-Bluetooth-Calling-Smartwatch-Assistance/dp/B0F2Z2TRK9/ref=sr_1_18" TargetMode="External"/><Relationship Id="rId387" Type="http://schemas.openxmlformats.org/officeDocument/2006/relationships/hyperlink" Target="https://www.amazon.in/Smartwatch-Calling-Fitness-Heart-Tracking/dp/B0GL9FDGCT/ref=sr_1_19" TargetMode="External"/><Relationship Id="rId388" Type="http://schemas.openxmlformats.org/officeDocument/2006/relationships/hyperlink" Target="https://www.amazon.in/Fire-Boltt-Transparent-Bluetooth-Assistant-Smartwatch/dp/B0GGHQ229W/ref=sr_1_20" TargetMode="External"/><Relationship Id="rId389" Type="http://schemas.openxmlformats.org/officeDocument/2006/relationships/hyperlink" Target="https://www.amazon.in/Bluetooth-Calling-Display-Fitness-Tracking/dp/B0H8DTL78B/ref=sr_1_21" TargetMode="External"/><Relationship Id="rId390" Type="http://schemas.openxmlformats.org/officeDocument/2006/relationships/hyperlink" Target="https://www.amazon.in/Discovery-Metallic-Animated-Watchfaces-Bluetooth/dp/B0G1T2GZP9/ref=sr_1_22" TargetMode="External"/><Relationship Id="rId391" Type="http://schemas.openxmlformats.org/officeDocument/2006/relationships/hyperlink" Target="https://www.amazon.in/dp/B0F5HQSXSV" TargetMode="External"/><Relationship Id="rId392" Type="http://schemas.openxmlformats.org/officeDocument/2006/relationships/hyperlink" Target="https://www.amazon.in/dp/B0DFYNLPFD" TargetMode="External"/><Relationship Id="rId393" Type="http://schemas.openxmlformats.org/officeDocument/2006/relationships/hyperlink" Target="https://www.amazon.in/CHG-Bluetooth-Calling-Monitoring-Multiple/dp/B0H46CCMRH/ref=sr_1_20" TargetMode="External"/><Relationship Id="rId394" Type="http://schemas.openxmlformats.org/officeDocument/2006/relationships/hyperlink" Target="https://www.amazon.in/Fire-Boltt-Display-Bluetooth-Calling-Assistance/dp/B0DTB2TZ84/ref=sr_1_21" TargetMode="External"/><Relationship Id="rId395" Type="http://schemas.openxmlformats.org/officeDocument/2006/relationships/hyperlink" Target="https://www.amazon.in/dp/B0CG1Y3336" TargetMode="External"/><Relationship Id="rId396" Type="http://schemas.openxmlformats.org/officeDocument/2006/relationships/hyperlink" Target="https://www.amazon.in/Fire-Boltt-Stainless-Bluetooth-Monitoring-Assistant/dp/B0CG1VX5P4/ref=sr_1_24" TargetMode="External"/><Relationship Id="rId397" Type="http://schemas.openxmlformats.org/officeDocument/2006/relationships/hyperlink" Target="https://www.amazon.in/Fire-Boltt-Bluetooth-Rotating-Waterproof-Smartwatch/dp/B0FP2D6Z16/ref=sr_1_25" TargetMode="External"/><Relationship Id="rId398" Type="http://schemas.openxmlformats.org/officeDocument/2006/relationships/hyperlink" Target="https://www.amazon.in/dp/B0FLYYHCJW" TargetMode="External"/><Relationship Id="rId399" Type="http://schemas.openxmlformats.org/officeDocument/2006/relationships/hyperlink" Target="https://www.amazon.in/dp/B0GLPBXQQD" TargetMode="External"/><Relationship Id="rId400" Type="http://schemas.openxmlformats.org/officeDocument/2006/relationships/hyperlink" Target="https://www.amazon.in/Redmi-Smartwatch-390&#215;450-Bluetooth-Calling/dp/B0FSLT35WH/ref=sr_1_28" TargetMode="External"/><Relationship Id="rId401" Type="http://schemas.openxmlformats.org/officeDocument/2006/relationships/hyperlink" Target="https://www.amazon.in/Fire-Boltt-Stainless-Bluetooth-Rotating-Assistant/dp/B0DSF243J4/ref=sr_1_29" TargetMode="External"/><Relationship Id="rId402" Type="http://schemas.openxmlformats.org/officeDocument/2006/relationships/hyperlink" Target="https://www.amazon.in/dp/B0FLYKJV58" TargetMode="External"/><Relationship Id="rId403" Type="http://schemas.openxmlformats.org/officeDocument/2006/relationships/hyperlink" Target="https://www.amazon.in/dp/B0D6N83X6D" TargetMode="External"/><Relationship Id="rId404" Type="http://schemas.openxmlformats.org/officeDocument/2006/relationships/hyperlink" Target="https://www.amazon.in/Fastrack-Resolution-SingleSync-Assistant-Smartwatch/dp/B0DGGVHMDS/ref=sr_1_32" TargetMode="External"/><Relationship Id="rId405" Type="http://schemas.openxmlformats.org/officeDocument/2006/relationships/hyperlink" Target="https://www.amazon.in/Fire-Boltt-Display-Bluetooth-Calling-Assistance/dp/B0DKBZYXZY/ref=sr_1_33" TargetMode="External"/><Relationship Id="rId406" Type="http://schemas.openxmlformats.org/officeDocument/2006/relationships/hyperlink" Target="https://www.amazon.in/Fire-Boltt-Bluetooth-Assistance-Resolution-Cinnamon/dp/B0DY82221X/ref=sr_1_34" TargetMode="External"/><Relationship Id="rId407" Type="http://schemas.openxmlformats.org/officeDocument/2006/relationships/hyperlink" Target="https://www.amazon.in/Fire-Boltt-BSW215-Brillia-Dark-Grey/dp/B0D2KGBVX4/ref=sr_1_35" TargetMode="External"/><Relationship Id="rId408" Type="http://schemas.openxmlformats.org/officeDocument/2006/relationships/hyperlink" Target="https://www.amazon.in/Fastrack-Display-Silicone-Calling-Smartwatch/dp/B0F5HS5NPM/ref=sr_1_36" TargetMode="External"/><Relationship Id="rId409" Type="http://schemas.openxmlformats.org/officeDocument/2006/relationships/hyperlink" Target="https://www.amazon.in/Fire-Boltt-Phoenix-Bluetooth-Calling-Monitoring/dp/B0B3RRWSF6/ref=sr_1_37" TargetMode="External"/><Relationship Id="rId410" Type="http://schemas.openxmlformats.org/officeDocument/2006/relationships/hyperlink" Target="https://www.amazon.in/Smartwatch-Bluetooth-Calculator-Waterproof-Wallpaper/dp/B0H9DNCD63/ref=sr_1_38" TargetMode="External"/><Relationship Id="rId411" Type="http://schemas.openxmlformats.org/officeDocument/2006/relationships/hyperlink" Target="https://www.amazon.in/boAt-Navigation-Display-Bluetooth-Emergency/dp/B0CVQG14RR/ref=sr_1_39" TargetMode="External"/><Relationship Id="rId412" Type="http://schemas.openxmlformats.org/officeDocument/2006/relationships/hyperlink" Target="https://www.amazon.in/Fire-Boltt-Bluetooth-Assistant-Monitoring-Millanese/dp/B0DY834T7L/ref=sr_1_40" TargetMode="External"/><Relationship Id="rId413" Type="http://schemas.openxmlformats.org/officeDocument/2006/relationships/hyperlink" Target="https://www.amazon.in/Noise-Vibrant-Bluetooth-Metallic-Assistance/dp/B0DNQQ67JY/ref=sr_1_41" TargetMode="External"/><Relationship Id="rId414" Type="http://schemas.openxmlformats.org/officeDocument/2006/relationships/hyperlink" Target="https://www.amazon.in/dp/B0DKC1XQL3" TargetMode="External"/><Relationship Id="rId415" Type="http://schemas.openxmlformats.org/officeDocument/2006/relationships/hyperlink" Target="https://www.amazon.in/dp/B0F993RN8H" TargetMode="External"/><Relationship Id="rId416" Type="http://schemas.openxmlformats.org/officeDocument/2006/relationships/hyperlink" Target="https://www.amazon.in/Noise-Smartwatch-Calling-Tracking-Monitoring/dp/B0CQ4K8J3R/ref=sr_1_3" TargetMode="External"/><Relationship Id="rId417" Type="http://schemas.openxmlformats.org/officeDocument/2006/relationships/hyperlink" Target="https://www.amazon.in/Fire-Boltt-Launched-Display-Bluetooth-Assistance/dp/B0C496V772/ref=sr_1_4" TargetMode="External"/><Relationship Id="rId418" Type="http://schemas.openxmlformats.org/officeDocument/2006/relationships/hyperlink" Target="https://www.amazon.in/dp/B0GVYXJHZJ" TargetMode="External"/><Relationship Id="rId419" Type="http://schemas.openxmlformats.org/officeDocument/2006/relationships/hyperlink" Target="https://www.amazon.in/dp/B0GLPC25J2" TargetMode="External"/><Relationship Id="rId420" Type="http://schemas.openxmlformats.org/officeDocument/2006/relationships/hyperlink" Target="https://www.amazon.in/Noise-Advanced-Bluetooth-Brightness-Smartwatch/dp/B0B6BLTGTT/ref=sr_1_7" TargetMode="External"/><Relationship Id="rId421" Type="http://schemas.openxmlformats.org/officeDocument/2006/relationships/hyperlink" Target="https://www.amazon.in/Fastrack-Resolution-SingleSync-Assistant-Smartwatch/dp/B0DDQCDQQG/ref=sr_1_8" TargetMode="External"/><Relationship Id="rId422" Type="http://schemas.openxmlformats.org/officeDocument/2006/relationships/hyperlink" Target="https://www.amazon.in/dp/B0CMF25TKG" TargetMode="External"/><Relationship Id="rId423" Type="http://schemas.openxmlformats.org/officeDocument/2006/relationships/hyperlink" Target="https://www.amazon.in/dp/B0CG1Y3336" TargetMode="External"/><Relationship Id="rId424" Type="http://schemas.openxmlformats.org/officeDocument/2006/relationships/hyperlink" Target="https://www.amazon.in/Fastrack-Limitless-Smartwatch-SingleSync-Watchfaces/dp/B0D1VKS2L9/ref=sr_1_11" TargetMode="External"/><Relationship Id="rId425" Type="http://schemas.openxmlformats.org/officeDocument/2006/relationships/hyperlink" Target="https://www.amazon.in/Fire-Boltt-BSW215-Brillia-Dark-Grey/dp/B0D2KGBVX4/ref=sr_1_12" TargetMode="External"/><Relationship Id="rId426" Type="http://schemas.openxmlformats.org/officeDocument/2006/relationships/hyperlink" Target="https://www.amazon.in/Fire-Boltt-Bluetooth-Assistant-Monitoring-Burgandy/dp/B0DY7YPBJL/ref=sr_1_13" TargetMode="External"/><Relationship Id="rId427" Type="http://schemas.openxmlformats.org/officeDocument/2006/relationships/hyperlink" Target="https://www.amazon.in/Discovery-Metallic-Animated-Watchfaces-Bluetooth/dp/B0G1T2GZP9/ref=sr_1_14" TargetMode="External"/><Relationship Id="rId428" Type="http://schemas.openxmlformats.org/officeDocument/2006/relationships/hyperlink" Target="https://www.amazon.in/boAt-Smartwatch-Charging-Functional-Tracking/dp/B0GX9JK9SN/ref=sr_1_15" TargetMode="External"/><Relationship Id="rId429" Type="http://schemas.openxmlformats.org/officeDocument/2006/relationships/hyperlink" Target="https://www.amazon.in/Smartwatch-Display-Animated-Functional-Multiple/dp/B0FLF44GTQ/ref=sr_1_16" TargetMode="External"/><Relationship Id="rId430" Type="http://schemas.openxmlformats.org/officeDocument/2006/relationships/hyperlink" Target="https://www.amazon.in/Fire-Boltt-Bluetooth-Calling-Smartwatch-Assistance/dp/B0F2Z2TRK9/ref=sr_1_17" TargetMode="External"/><Relationship Id="rId431" Type="http://schemas.openxmlformats.org/officeDocument/2006/relationships/hyperlink" Target="https://www.amazon.in/boAt-Lunar-Discovery-Navigation-Bluetooth/dp/B0DFYL4635/ref=sr_1_18" TargetMode="External"/><Relationship Id="rId432" Type="http://schemas.openxmlformats.org/officeDocument/2006/relationships/hyperlink" Target="https://www.amazon.in/Fire-Boltt-Bluetooth-Rotating-Assistant-Monitoring/dp/B0DSDXJG8Q/ref=sr_1_19" TargetMode="External"/><Relationship Id="rId433" Type="http://schemas.openxmlformats.org/officeDocument/2006/relationships/hyperlink" Target="https://www.amazon.in/Noise-Vibrant-Bluetooth-Metallic-Assistance/dp/B0DNQQ67JY/ref=sr_1_20" TargetMode="External"/><Relationship Id="rId434" Type="http://schemas.openxmlformats.org/officeDocument/2006/relationships/hyperlink" Target="https://www.amazon.in/GOBOULT-Tuff-Hawk-Watchfaces-Brightness/dp/B0GGLGGHZF/ref=sr_1_21" TargetMode="External"/><Relationship Id="rId435" Type="http://schemas.openxmlformats.org/officeDocument/2006/relationships/hyperlink" Target="https://www.amazon.in/Fastrack-Jupiter-Smartwatch-Tracking-Multiple/dp/B0GLPGN521/ref=sr_1_22" TargetMode="External"/><Relationship Id="rId436" Type="http://schemas.openxmlformats.org/officeDocument/2006/relationships/hyperlink" Target="https://www.amazon.in/dp/B0F992RNJF" TargetMode="External"/><Relationship Id="rId437" Type="http://schemas.openxmlformats.org/officeDocument/2006/relationships/hyperlink" Target="https://www.amazon.in/Fire-Boltt-Bluetooth-Rotating-Waterproof-Smartwatch/dp/B0FP2FXTYC/ref=sr_1_21" TargetMode="External"/><Relationship Id="rId438" Type="http://schemas.openxmlformats.org/officeDocument/2006/relationships/hyperlink" Target="https://www.amazon.in/dp/B0CG1VX5P4" TargetMode="External"/><Relationship Id="rId439" Type="http://schemas.openxmlformats.org/officeDocument/2006/relationships/hyperlink" Target="https://www.amazon.in/Fire-Boltt-Transparent-Bluetooth-Assistant-Smartwatch/dp/B0GGHG9CWT/ref=sr_1_24" TargetMode="External"/><Relationship Id="rId440" Type="http://schemas.openxmlformats.org/officeDocument/2006/relationships/hyperlink" Target="https://www.amazon.in/Fastrack-Display-Silicone-Calling-Smartwatch/dp/B0F5HNW218/ref=sr_1_25" TargetMode="External"/><Relationship Id="rId441" Type="http://schemas.openxmlformats.org/officeDocument/2006/relationships/hyperlink" Target="https://www.amazon.in/dp/B0BN1X7ZVT" TargetMode="External"/><Relationship Id="rId442" Type="http://schemas.openxmlformats.org/officeDocument/2006/relationships/hyperlink" Target="https://www.amazon.in/Fastrack-Jupiter-Display-Bluetooth-Functional/dp/B0F5HQX4FC/ref=sr_1_28" TargetMode="External"/><Relationship Id="rId443" Type="http://schemas.openxmlformats.org/officeDocument/2006/relationships/hyperlink" Target="https://www.amazon.in/Smartwatch-Bluetooth-Calculator-Waterproof-Wallpaper/dp/B0H9NYH8DW/ref=sr_1_29" TargetMode="External"/><Relationship Id="rId444" Type="http://schemas.openxmlformats.org/officeDocument/2006/relationships/hyperlink" Target="https://www.amazon.in/dp/B0G6K9G3YS" TargetMode="External"/><Relationship Id="rId445" Type="http://schemas.openxmlformats.org/officeDocument/2006/relationships/hyperlink" Target="https://www.amazon.in/dp/B0DF31RRVB" TargetMode="External"/><Relationship Id="rId446" Type="http://schemas.openxmlformats.org/officeDocument/2006/relationships/hyperlink" Target="https://www.amazon.in/boAt-Smartwatch-Immersive-Functional-Monitoring/dp/B0GPDRBRBX/ref=sr_1_32" TargetMode="External"/><Relationship Id="rId447" Type="http://schemas.openxmlformats.org/officeDocument/2006/relationships/hyperlink" Target="https://www.amazon.in/Noise-ColorFit-Pulse-Smartwatch-Mocha/dp/B0D4ZFTLPX/ref=sr_1_33" TargetMode="External"/><Relationship Id="rId448" Type="http://schemas.openxmlformats.org/officeDocument/2006/relationships/hyperlink" Target="https://www.amazon.in/Fire-Boltt-Bluetooth-Assistant-Monitoring-Millanese/dp/B0DY834T7L/ref=sr_1_34" TargetMode="External"/><Relationship Id="rId449" Type="http://schemas.openxmlformats.org/officeDocument/2006/relationships/hyperlink" Target="https://www.amazon.in/Fastrack-Resolution-SingleSync-Assistant-Smartwatch/dp/B0DDQCB71F/ref=sr_1_35" TargetMode="External"/><Relationship Id="rId450" Type="http://schemas.openxmlformats.org/officeDocument/2006/relationships/hyperlink" Target="https://www.amazon.in/Fire-Boltt-Bluetooth-Wireless-Charging-Assistant/dp/B0G61HJYR3/ref=sr_1_36" TargetMode="External"/><Relationship Id="rId451" Type="http://schemas.openxmlformats.org/officeDocument/2006/relationships/hyperlink" Target="https://www.amazon.in/boAt-Advanced-Bluetooth-Functional-Monitoring/dp/B0CF1NTL6M/ref=sr_1_37" TargetMode="External"/><Relationship Id="rId452" Type="http://schemas.openxmlformats.org/officeDocument/2006/relationships/hyperlink" Target="https://www.amazon.in/Noise-Launched-Bluetooth-Assistance-Metallic/dp/B0BW4BFBD5/ref=sr_1_38" TargetMode="External"/><Relationship Id="rId453" Type="http://schemas.openxmlformats.org/officeDocument/2006/relationships/hyperlink" Target="https://www.amazon.in/Noise-Display-Bluetooth-Brightness-Smartwatch/dp/B0GMK64GS1/ref=sr_1_39" TargetMode="External"/><Relationship Id="rId454" Type="http://schemas.openxmlformats.org/officeDocument/2006/relationships/hyperlink" Target="https://www.amazon.in/Fire-Boltt-Stainless-Bluetooth-Monitoring-Assistant/dp/B0CG1V9H8T/ref=sr_1_40" TargetMode="External"/><Relationship Id="rId455" Type="http://schemas.openxmlformats.org/officeDocument/2006/relationships/hyperlink" Target="https://www.amazon.in/dp/B0FLYHGXVJ" TargetMode="External"/><Relationship Id="rId456" Type="http://schemas.openxmlformats.org/officeDocument/2006/relationships/hyperlink" Target="https://www.amazon.in/dp/B0D6N5V9PY" TargetMode="External"/><Relationship Id="rId457" Type="http://schemas.openxmlformats.org/officeDocument/2006/relationships/hyperlink" Target="https://www.amazon.in/Fastrack-Limitless-Calling-Assistant-Tracking/dp/B0F5HP275V/ref=sr_1_3" TargetMode="External"/><Relationship Id="rId458" Type="http://schemas.openxmlformats.org/officeDocument/2006/relationships/hyperlink" Target="https://www.amazon.in/Noise-Unlimited-Display-Functional-Metallic/dp/B0D6GJH129/ref=sr_1_4" TargetMode="External"/><Relationship Id="rId459" Type="http://schemas.openxmlformats.org/officeDocument/2006/relationships/hyperlink" Target="https://www.amazon.in/dp/B0BN1X7ZVT" TargetMode="External"/><Relationship Id="rId460" Type="http://schemas.openxmlformats.org/officeDocument/2006/relationships/hyperlink" Target="https://www.amazon.in/dp/B0GVYXJHZJ" TargetMode="External"/><Relationship Id="rId461" Type="http://schemas.openxmlformats.org/officeDocument/2006/relationships/hyperlink" Target="https://www.amazon.in/Redmi-Smartwatch-390&#215;450-Bluetooth-Calling/dp/B0FSLT35WH/ref=sr_1_7" TargetMode="External"/><Relationship Id="rId462" Type="http://schemas.openxmlformats.org/officeDocument/2006/relationships/hyperlink" Target="https://www.amazon.in/Redmi-Smartwatch-390&#215;450-Bluetooth-Calling/dp/B0FSLPCHBX/ref=sr_1_8" TargetMode="External"/><Relationship Id="rId463" Type="http://schemas.openxmlformats.org/officeDocument/2006/relationships/hyperlink" Target="https://www.amazon.in/dp/B0CP9PLWTF" TargetMode="External"/><Relationship Id="rId464" Type="http://schemas.openxmlformats.org/officeDocument/2006/relationships/hyperlink" Target="https://www.amazon.in/dp/B0GLPC25J2" TargetMode="External"/><Relationship Id="rId465" Type="http://schemas.openxmlformats.org/officeDocument/2006/relationships/hyperlink" Target="https://www.amazon.in/Noise-Smartwatch-Calling-Tracking-Monitoring/dp/B0CQ4HSR2D/ref=sr_1_11" TargetMode="External"/><Relationship Id="rId466" Type="http://schemas.openxmlformats.org/officeDocument/2006/relationships/hyperlink" Target="https://www.amazon.in/boAt-Smartwatch-Display-Brightness-Premium/dp/B0H1J5QHXG/ref=sr_1_12" TargetMode="External"/><Relationship Id="rId467" Type="http://schemas.openxmlformats.org/officeDocument/2006/relationships/hyperlink" Target="https://www.amazon.in/boAt-Auto-Activity-Detection-Advanced-Bluetooth/dp/B0F491YC5Q/ref=sr_1_13" TargetMode="External"/><Relationship Id="rId468" Type="http://schemas.openxmlformats.org/officeDocument/2006/relationships/hyperlink" Target="https://www.amazon.in/Fastrack-Optimus-Advanced-Resistant-Smartwatch/dp/B0F43W1KL1/ref=sr_1_14" TargetMode="External"/><Relationship Id="rId469" Type="http://schemas.openxmlformats.org/officeDocument/2006/relationships/hyperlink" Target="https://www.amazon.in/Fire-Boltt-Bluetooth-Rotating-Waterproof-Smartwatch/dp/B0FP2D6Z16/ref=sr_1_15" TargetMode="External"/><Relationship Id="rId470" Type="http://schemas.openxmlformats.org/officeDocument/2006/relationships/hyperlink" Target="https://www.amazon.in/Redmi-Display-Bluetooth-Advanced-Cancellation/dp/B0DCZWZ39H/ref=sr_1_16" TargetMode="External"/><Relationship Id="rId471" Type="http://schemas.openxmlformats.org/officeDocument/2006/relationships/hyperlink" Target="https://www.amazon.in/Noise-Launched-Display-Calling-Battery/dp/B0CG1Y3336/ref=sr_1_17" TargetMode="External"/><Relationship Id="rId472" Type="http://schemas.openxmlformats.org/officeDocument/2006/relationships/hyperlink" Target="https://www.amazon.in/boAt-Smartwatch-Charging-Functional-Tracking/dp/B0GX9JK9SN/ref=sr_1_18" TargetMode="External"/><Relationship Id="rId473" Type="http://schemas.openxmlformats.org/officeDocument/2006/relationships/hyperlink" Target="https://www.amazon.in/GOBOULT-Mustang-Muscle-Convertible-Brightness/dp/B0GYYM57FP/ref=sr_1_19" TargetMode="External"/><Relationship Id="rId474" Type="http://schemas.openxmlformats.org/officeDocument/2006/relationships/hyperlink" Target="https://www.amazon.in/Fire-Boltt-Launched-Display-Bluetooth-Assistance/dp/B0C497MSQN/ref=sr_1_20" TargetMode="External"/><Relationship Id="rId475" Type="http://schemas.openxmlformats.org/officeDocument/2006/relationships/hyperlink" Target="https://www.amazon.in/Smartwatch-Display-Animated-Functional-Multiple/dp/B0FLF44GTQ/ref=sr_1_21" TargetMode="External"/><Relationship Id="rId476" Type="http://schemas.openxmlformats.org/officeDocument/2006/relationships/hyperlink" Target="https://www.amazon.in/Fire-Boltt-Bluetooth-Assistant-Monitoring-Burgandy/dp/B0DY7YPBJL/ref=sr_1_22" TargetMode="External"/><Relationship Id="rId477" Type="http://schemas.openxmlformats.org/officeDocument/2006/relationships/hyperlink" Target="https://www.amazon.in/dp/B0F2Z1Q4W4" TargetMode="External"/><Relationship Id="rId478" Type="http://schemas.openxmlformats.org/officeDocument/2006/relationships/hyperlink" Target="https://www.amazon.in/dp/B0CG1VX5P4" TargetMode="External"/><Relationship Id="rId479" Type="http://schemas.openxmlformats.org/officeDocument/2006/relationships/hyperlink" Target="https://www.amazon.in/NoiseFit-Display-Bluetooth-Calling-Metallic/dp/B0BNNC7R2W/ref=sr_1_20" TargetMode="External"/><Relationship Id="rId480" Type="http://schemas.openxmlformats.org/officeDocument/2006/relationships/hyperlink" Target="https://www.amazon.in/Noise-Smartwatch-Diamond-Metallic-Display/dp/B0C5X2JV72/ref=sr_1_21" TargetMode="External"/><Relationship Id="rId481" Type="http://schemas.openxmlformats.org/officeDocument/2006/relationships/hyperlink" Target="https://www.amazon.in/dp/B0D6N83X6D" TargetMode="External"/><Relationship Id="rId482" Type="http://schemas.openxmlformats.org/officeDocument/2006/relationships/hyperlink" Target="https://www.amazon.in/dp/B0BLHGBSG8" TargetMode="External"/><Relationship Id="rId483" Type="http://schemas.openxmlformats.org/officeDocument/2006/relationships/hyperlink" Target="https://www.amazon.in/Noise-Advanced-Bluetooth-Brightness-Smartwatch/dp/B0B6BLTGTT/ref=sr_1_24" TargetMode="External"/><Relationship Id="rId484" Type="http://schemas.openxmlformats.org/officeDocument/2006/relationships/hyperlink" Target="https://www.amazon.in/boAt-Smartwatch-Display-Brightness-Premium/dp/B0H1J94XZN/ref=sr_1_25" TargetMode="External"/><Relationship Id="rId485" Type="http://schemas.openxmlformats.org/officeDocument/2006/relationships/hyperlink" Target="https://www.amazon.in/dp/B0FQ59KS4G" TargetMode="External"/><Relationship Id="rId486" Type="http://schemas.openxmlformats.org/officeDocument/2006/relationships/hyperlink" Target="https://www.amazon.in/dp/B0G6K9G3YS" TargetMode="External"/><Relationship Id="rId487" Type="http://schemas.openxmlformats.org/officeDocument/2006/relationships/hyperlink" Target="https://www.amazon.in/Fire-Boltt-Bluetooth-Calling-Smartwatch-Assistance/dp/B0F2Z2TRK9/ref=sr_1_28" TargetMode="External"/><Relationship Id="rId488" Type="http://schemas.openxmlformats.org/officeDocument/2006/relationships/hyperlink" Target="https://www.amazon.in/Noise-Launched-Bluetooth-Detection-Smartwatch/dp/B0CQRQK8L8/ref=sr_1_29" TargetMode="External"/><Relationship Id="rId489" Type="http://schemas.openxmlformats.org/officeDocument/2006/relationships/hyperlink" Target="https://www.amazon.in/dp/B0GGHJJXCB" TargetMode="External"/><Relationship Id="rId490" Type="http://schemas.openxmlformats.org/officeDocument/2006/relationships/hyperlink" Target="https://www.amazon.in/boAt-Smartwatch-Brightness-Personalized-Functional/dp/B0H2H9368L/ref=sr_1_32" TargetMode="External"/><Relationship Id="rId491" Type="http://schemas.openxmlformats.org/officeDocument/2006/relationships/hyperlink" Target="https://www.amazon.in/Fire-Boltt-Bluetooth-Wireless-Charging-Assistant/dp/B0F993RN8H/ref=sr_1_33" TargetMode="External"/><Relationship Id="rId492" Type="http://schemas.openxmlformats.org/officeDocument/2006/relationships/hyperlink" Target="https://www.amazon.in/GOBOULT-Smartwatch-Brightness-Watchfaces-Monitoring/dp/B0H333ZQML/ref=sr_1_35" TargetMode="External"/><Relationship Id="rId493" Type="http://schemas.openxmlformats.org/officeDocument/2006/relationships/hyperlink" Target="https://www.amazon.in/Fastrack-Resolution-SingleSync-Assistant-Smartwatch/dp/B0DDQCB71F/ref=sr_1_36" TargetMode="External"/><Relationship Id="rId494" Type="http://schemas.openxmlformats.org/officeDocument/2006/relationships/hyperlink" Target="https://www.amazon.in/Smartwatch-Bluetooth-Calculator-Waterproof-Wallpaper/dp/B0H9NYH8DW/ref=sr_1_37" TargetMode="External"/><Relationship Id="rId495" Type="http://schemas.openxmlformats.org/officeDocument/2006/relationships/hyperlink" Target="https://www.amazon.in/Fire-Boltt-Transparent-Bluetooth-Assistant-Smartwatch/dp/B0GGHG9CWT/ref=sr_1_38" TargetMode="External"/><Relationship Id="rId496" Type="http://schemas.openxmlformats.org/officeDocument/2006/relationships/hyperlink" Target="https://www.amazon.in/Fire-Boltt-Stainless-Bluetooth-Rotating-Assistant/dp/B0DSDYFT1P/ref=sr_1_39" TargetMode="External"/><Relationship Id="rId497" Type="http://schemas.openxmlformats.org/officeDocument/2006/relationships/hyperlink" Target="https://www.amazon.in/boAt-Ultima-Ember-Smartwatch-Personalized/dp/B0DSFQ434R/ref=sr_1_40" TargetMode="External"/><Relationship Id="rId498" Type="http://schemas.openxmlformats.org/officeDocument/2006/relationships/hyperlink" Target="https://www.amazon.in/Fastrack-Display-Silicone-Calling-Smartwatch/dp/B0F5HNW218/ref=sr_1_41" TargetMode="External"/><Relationship Id="rId499" Type="http://schemas.openxmlformats.org/officeDocument/2006/relationships/hyperlink" Target="https://www.amazon.in/dp/B0FZ9YD8MN" TargetMode="External"/><Relationship Id="rId500" Type="http://schemas.openxmlformats.org/officeDocument/2006/relationships/hyperlink" Target="https://www.amazon.in/dp/B0CQJZD55X" TargetMode="External"/><Relationship Id="rId501" Type="http://schemas.openxmlformats.org/officeDocument/2006/relationships/hyperlink" Target="https://www.amazon.in/boAt-Airdopes-Pocketable-Controls-Bluetooth/dp/B0GZNHB218/ref=sr_1_3" TargetMode="External"/><Relationship Id="rId502" Type="http://schemas.openxmlformats.org/officeDocument/2006/relationships/hyperlink" Target="https://www.amazon.in/boAt-Airdopes-Bluetooth-Wireless-Earphones/dp/B0FC2Y3XGV/ref=sr_1_4" TargetMode="External"/><Relationship Id="rId503" Type="http://schemas.openxmlformats.org/officeDocument/2006/relationships/hyperlink" Target="https://www.amazon.in/dp/B0D4QNLF6Y" TargetMode="External"/><Relationship Id="rId504" Type="http://schemas.openxmlformats.org/officeDocument/2006/relationships/hyperlink" Target="https://www.amazon.in/dp/B0GCNML31G" TargetMode="External"/><Relationship Id="rId505" Type="http://schemas.openxmlformats.org/officeDocument/2006/relationships/hyperlink" Target="https://www.amazon.in/boAt-Airdopes-163-Earbuds-Active/dp/B0CNRFYLV8/ref=sr_1_7" TargetMode="External"/><Relationship Id="rId506" Type="http://schemas.openxmlformats.org/officeDocument/2006/relationships/hyperlink" Target="https://www.amazon.in/Airdopes-141-Playtime-Resistance-Bluetooth/dp/B09N3ZNHTY/ref=sr_1_8" TargetMode="External"/><Relationship Id="rId507" Type="http://schemas.openxmlformats.org/officeDocument/2006/relationships/hyperlink" Target="https://www.amazon.in/dp/B0DS2XNXZB" TargetMode="External"/><Relationship Id="rId508" Type="http://schemas.openxmlformats.org/officeDocument/2006/relationships/hyperlink" Target="https://www.amazon.in/dp/B0FHW7PX1N" TargetMode="External"/><Relationship Id="rId509" Type="http://schemas.openxmlformats.org/officeDocument/2006/relationships/hyperlink" Target="https://www.amazon.in/boAt-Airdopes-Alpha-Wireless-Earbuds/dp/B0C3ZYFZ77/ref=sr_1_11" TargetMode="External"/><Relationship Id="rId510" Type="http://schemas.openxmlformats.org/officeDocument/2006/relationships/hyperlink" Target="https://www.amazon.in/boAt-Airdopes-Surround-AI-ENxTM-Bluetooth/dp/B0GZMYZW7R/ref=sr_1_12" TargetMode="External"/><Relationship Id="rId511" Type="http://schemas.openxmlformats.org/officeDocument/2006/relationships/hyperlink" Target="https://www.amazon.in/boAt-Airdopes-Immersive-Hearables-Assistant/dp/B0GXBG2MNF/ref=sr_1_13" TargetMode="External"/><Relationship Id="rId512" Type="http://schemas.openxmlformats.org/officeDocument/2006/relationships/hyperlink" Target="https://www.amazon.in/boAt-Airdopes-Bluetooth-Wireless-Earphones/dp/B0DZXTVL6V/ref=sr_1_14" TargetMode="External"/><Relationship Id="rId513" Type="http://schemas.openxmlformats.org/officeDocument/2006/relationships/hyperlink" Target="https://www.amazon.in/boAt-Nirvana-Playback-Technology-Detection/dp/B0BW8RVQ3V/ref=sr_1_15" TargetMode="External"/><Relationship Id="rId514" Type="http://schemas.openxmlformats.org/officeDocument/2006/relationships/hyperlink" Target="https://www.amazon.in/Airdopes-Battery-Bluetooth-Wireless-Earphones/dp/B0FL2SJTB2/ref=sr_1_16" TargetMode="External"/><Relationship Id="rId515" Type="http://schemas.openxmlformats.org/officeDocument/2006/relationships/hyperlink" Target="https://www.amazon.in/boAt-Airdopes-Pocketable-Controls-Bluetooth/dp/B0GZMYP6Y6/ref=sr_1_17" TargetMode="External"/><Relationship Id="rId516" Type="http://schemas.openxmlformats.org/officeDocument/2006/relationships/hyperlink" Target="https://www.amazon.in/boAt-Airdopes-Powerful-Playback-Bluetooth/dp/B0GXB9M2HW/ref=sr_1_18" TargetMode="External"/><Relationship Id="rId517" Type="http://schemas.openxmlformats.org/officeDocument/2006/relationships/hyperlink" Target="https://www.amazon.in/boAt-Airdopes-Bluetooth-Wireless-Earphones/dp/B0FHHLMSW6/ref=sr_1_19" TargetMode="External"/><Relationship Id="rId518" Type="http://schemas.openxmlformats.org/officeDocument/2006/relationships/hyperlink" Target="https://www.amazon.in/boAt-Airdopes-ProClip-Conduction-Feather-Light/dp/B0GZN7C6X8/ref=sr_1_20" TargetMode="External"/><Relationship Id="rId519" Type="http://schemas.openxmlformats.org/officeDocument/2006/relationships/hyperlink" Target="https://www.amazon.in/boAt-Airdopes-101v2-Pitch-Black/dp/B0DXPNVSSB/ref=sr_1_21" TargetMode="External"/><Relationship Id="rId520" Type="http://schemas.openxmlformats.org/officeDocument/2006/relationships/hyperlink" Target="https://www.amazon.in/boAt-Airdopes-Immersive-Hearables-Assistant/dp/B0GXBJ3658/ref=sr_1_22" TargetMode="External"/><Relationship Id="rId521" Type="http://schemas.openxmlformats.org/officeDocument/2006/relationships/hyperlink" Target="https://www.amazon.in/dp/B0CQJWQWD9" TargetMode="External"/><Relationship Id="rId522" Type="http://schemas.openxmlformats.org/officeDocument/2006/relationships/hyperlink" Target="https://www.amazon.in/Airdopes-Drivers-Bluetooth-Wireless-Earphones/dp/B0FPLP7SMZ/ref=sr_1_20" TargetMode="External"/><Relationship Id="rId523" Type="http://schemas.openxmlformats.org/officeDocument/2006/relationships/hyperlink" Target="https://www.amazon.in/boAt-Airdopes-300-Experience-Multipoint/dp/B0D3DK779N/ref=sr_1_21" TargetMode="External"/><Relationship Id="rId524" Type="http://schemas.openxmlformats.org/officeDocument/2006/relationships/hyperlink" Target="https://www.amazon.in/dp/B0GCNNWM13" TargetMode="External"/><Relationship Id="rId525" Type="http://schemas.openxmlformats.org/officeDocument/2006/relationships/hyperlink" Target="https://www.amazon.in/dp/B0CYPZLV8C" TargetMode="External"/><Relationship Id="rId526" Type="http://schemas.openxmlformats.org/officeDocument/2006/relationships/hyperlink" Target="https://www.amazon.in/boAt-Nirvana-TWS-Bluetooth-Earphones/dp/B0DQKY3R84/ref=sr_1_24" TargetMode="External"/><Relationship Id="rId527" Type="http://schemas.openxmlformats.org/officeDocument/2006/relationships/hyperlink" Target="https://www.amazon.in/boAt-Airdopes-311-Pro-Transparent/dp/B0CZ417B2Q/ref=sr_1_25" TargetMode="External"/><Relationship Id="rId528" Type="http://schemas.openxmlformats.org/officeDocument/2006/relationships/hyperlink" Target="https://www.amazon.in/dp/B0FBR6HGXM" TargetMode="External"/><Relationship Id="rId529" Type="http://schemas.openxmlformats.org/officeDocument/2006/relationships/hyperlink" Target="https://www.amazon.in/boAt-Airdopes-121-Pro-Plus/dp/B0D49ZS9MT/ref=sr_1_28" TargetMode="External"/><Relationship Id="rId530" Type="http://schemas.openxmlformats.org/officeDocument/2006/relationships/hyperlink" Target="https://www.amazon.in/Nirvana-Feedback-Bluetooth-Wireless-Earphones/dp/B0G2S1MZRX/ref=sr_1_29" TargetMode="External"/><Relationship Id="rId531" Type="http://schemas.openxmlformats.org/officeDocument/2006/relationships/hyperlink" Target="https://www.amazon.in/dp/B0GSZV3415" TargetMode="External"/><Relationship Id="rId532" Type="http://schemas.openxmlformats.org/officeDocument/2006/relationships/hyperlink" Target="https://www.amazon.in/dp/B0GHQD8KP2" TargetMode="External"/><Relationship Id="rId533" Type="http://schemas.openxmlformats.org/officeDocument/2006/relationships/hyperlink" Target="https://www.amazon.in/Boat-Airdopes-Earbuds-Cosmic-Black/dp/B0GC5STRB9/ref=sr_1_32" TargetMode="External"/><Relationship Id="rId534" Type="http://schemas.openxmlformats.org/officeDocument/2006/relationships/hyperlink" Target="https://www.amazon.in/boAt-Airdopes-ProClip-Conduction-Feather-Light/dp/B0GZNFM1CT/ref=sr_1_33" TargetMode="External"/><Relationship Id="rId535" Type="http://schemas.openxmlformats.org/officeDocument/2006/relationships/hyperlink" Target="https://www.amazon.in/boAt-Tracking-Bluetooth-Wireless-Earphones/dp/B0DBHBZZTN/ref=sr_1_34" TargetMode="External"/><Relationship Id="rId536" Type="http://schemas.openxmlformats.org/officeDocument/2006/relationships/hyperlink" Target="https://www.amazon.in/boAt-Immortal-100-Earbuds-Black/dp/B0CRL6D5PH/ref=sr_1_35" TargetMode="External"/><Relationship Id="rId537" Type="http://schemas.openxmlformats.org/officeDocument/2006/relationships/hyperlink" Target="https://www.amazon.in/boAt-Airdopes-Ultra-Plus-Technology/dp/B0D31QS9RH/ref=sr_1_36" TargetMode="External"/><Relationship Id="rId538" Type="http://schemas.openxmlformats.org/officeDocument/2006/relationships/hyperlink" Target="https://www.amazon.in/boAt-Airdopes-Loop-Conduction-Earphones/dp/B0DJ8KY3FT/ref=sr_1_37" TargetMode="External"/><Relationship Id="rId539" Type="http://schemas.openxmlformats.org/officeDocument/2006/relationships/hyperlink" Target="https://www.amazon.in/Airdopes-Multipoint-Connection-Bluetooth-Earphones/dp/B0FM3N9DXH/ref=sr_1_38" TargetMode="External"/><Relationship Id="rId540" Type="http://schemas.openxmlformats.org/officeDocument/2006/relationships/hyperlink" Target="https://www.amazon.in/boAt-Nirvana-Zenith-Pro-Bluetooth/dp/B0DXP8JM1M/ref=sr_1_39" TargetMode="External"/><Relationship Id="rId541" Type="http://schemas.openxmlformats.org/officeDocument/2006/relationships/hyperlink" Target="https://www.amazon.in/OnePlus-Playback-Translation-Dual-Device-Connectivity/dp/B0FMDL81GS/ref=sr_1_40" TargetMode="External"/><Relationship Id="rId542" Type="http://schemas.openxmlformats.org/officeDocument/2006/relationships/hyperlink" Target="https://www.amazon.in/boAt-Airdopes-Bluetooth-Wireless-Earphones/dp/B0DPWJYQK1/ref=sr_1_41" TargetMode="External"/><Relationship Id="rId543" Type="http://schemas.openxmlformats.org/officeDocument/2006/relationships/hyperlink" Target="https://www.amazon.in/dp/B0FBMFP94S" TargetMode="External"/><Relationship Id="rId544" Type="http://schemas.openxmlformats.org/officeDocument/2006/relationships/hyperlink" Target="https://www.amazon.in/dp/B0FBMDRLD2" TargetMode="External"/><Relationship Id="rId545" Type="http://schemas.openxmlformats.org/officeDocument/2006/relationships/hyperlink" Target="https://www.amazon.in/Smartwatch-Display-Animated-Functional-Multiple/dp/B0FLF44GTQ/ref=sr_1_3" TargetMode="External"/><Relationship Id="rId546" Type="http://schemas.openxmlformats.org/officeDocument/2006/relationships/hyperlink" Target="https://www.amazon.in/boAt-Smartwatch-Charging-Functional-Tracking/dp/B0GX9JK9SN/ref=sr_1_4" TargetMode="External"/><Relationship Id="rId547" Type="http://schemas.openxmlformats.org/officeDocument/2006/relationships/hyperlink" Target="https://www.amazon.in/dp/B0C497MSQN" TargetMode="External"/><Relationship Id="rId548" Type="http://schemas.openxmlformats.org/officeDocument/2006/relationships/hyperlink" Target="https://www.amazon.in/dp/B0DY7YPBJL" TargetMode="External"/><Relationship Id="rId549" Type="http://schemas.openxmlformats.org/officeDocument/2006/relationships/hyperlink" Target="https://www.amazon.in/Discovery-Metallic-Animated-Watchfaces-Bluetooth/dp/B0G1T2GZP9/ref=sr_1_7" TargetMode="External"/><Relationship Id="rId550" Type="http://schemas.openxmlformats.org/officeDocument/2006/relationships/hyperlink" Target="https://www.amazon.in/boAt-Lunar-Discovery-Navigation-Bluetooth/dp/B0DFYL4635/ref=sr_1_8" TargetMode="External"/><Relationship Id="rId551" Type="http://schemas.openxmlformats.org/officeDocument/2006/relationships/hyperlink" Target="https://www.amazon.in/dp/B0CMF25TKG" TargetMode="External"/><Relationship Id="rId552" Type="http://schemas.openxmlformats.org/officeDocument/2006/relationships/hyperlink" Target="https://www.amazon.in/dp/B0DY7YGY4D" TargetMode="External"/><Relationship Id="rId553" Type="http://schemas.openxmlformats.org/officeDocument/2006/relationships/hyperlink" Target="https://www.amazon.in/boAt-Navigation-Display-Bluetooth-Emergency/dp/B0CVQG14RR/ref=sr_1_11" TargetMode="External"/><Relationship Id="rId554" Type="http://schemas.openxmlformats.org/officeDocument/2006/relationships/hyperlink" Target="https://www.amazon.in/boAt-Infinity-Extensive-Battery-Functional/dp/B0DZ2PDXLS/ref=sr_1_12" TargetMode="External"/><Relationship Id="rId555" Type="http://schemas.openxmlformats.org/officeDocument/2006/relationships/hyperlink" Target="https://www.amazon.in/boAt-Smartwatch-Brightness-Personalized-Functional/dp/B0H2H9368L/ref=sr_1_13" TargetMode="External"/><Relationship Id="rId556" Type="http://schemas.openxmlformats.org/officeDocument/2006/relationships/hyperlink" Target="https://www.amazon.in/boAt-Smartwatch-Charging-Functional-Tracking/dp/B0GX9HWLBF/ref=sr_1_14" TargetMode="External"/><Relationship Id="rId557" Type="http://schemas.openxmlformats.org/officeDocument/2006/relationships/hyperlink" Target="https://www.amazon.in/boAt-Advanced-Bluetooth-Functional-Monitoring/dp/B0CF1NTL6M/ref=sr_1_15" TargetMode="External"/><Relationship Id="rId558" Type="http://schemas.openxmlformats.org/officeDocument/2006/relationships/hyperlink" Target="https://www.amazon.in/boAt-Smartwatch-Immersive-Functional-Monitoring/dp/B0GPDNKWQ3/ref=sr_1_16" TargetMode="External"/><Relationship Id="rId559" Type="http://schemas.openxmlformats.org/officeDocument/2006/relationships/hyperlink" Target="https://www.amazon.in/boAt-Smartwatch-Immersive-Functional-Monitoring/dp/B0GPDRBMS6/ref=sr_1_17" TargetMode="External"/><Relationship Id="rId560" Type="http://schemas.openxmlformats.org/officeDocument/2006/relationships/hyperlink" Target="https://www.amazon.in/boAt-smartwatch-Display-Personalized-Functional/dp/B0DSFQ2RLV/ref=sr_1_18" TargetMode="External"/><Relationship Id="rId561" Type="http://schemas.openxmlformats.org/officeDocument/2006/relationships/hyperlink" Target="https://www.amazon.in/boAt-Ultima-Ember-Smartwatch-Personalized/dp/B0DSFS2LLC/ref=sr_1_19" TargetMode="External"/><Relationship Id="rId562" Type="http://schemas.openxmlformats.org/officeDocument/2006/relationships/hyperlink" Target="https://www.amazon.in/boAt-Wave-Call-Plus-Bilingual/dp/B0DMF4LP99/ref=sr_1_20" TargetMode="External"/><Relationship Id="rId563" Type="http://schemas.openxmlformats.org/officeDocument/2006/relationships/hyperlink" Target="https://www.amazon.in/boAt-Display-Advanced-Functional-Multiple/dp/B0F3DKH55N/ref=sr_1_21" TargetMode="External"/><Relationship Id="rId564" Type="http://schemas.openxmlformats.org/officeDocument/2006/relationships/hyperlink" Target="https://www.amazon.in/boAt-Smartwatch-Display-Brightness-Premium/dp/B0H1J5QHXG/ref=sr_1_22" TargetMode="External"/><Relationship Id="rId565" Type="http://schemas.openxmlformats.org/officeDocument/2006/relationships/hyperlink" Target="https://www.amazon.in/dp/B0BF57RN3K" TargetMode="External"/><Relationship Id="rId566" Type="http://schemas.openxmlformats.org/officeDocument/2006/relationships/hyperlink" Target="https://www.amazon.in/boAt-Storm-Call-Navigation-Activity/dp/B0DBLX3R5H/ref=sr_1_20" TargetMode="External"/><Relationship Id="rId567" Type="http://schemas.openxmlformats.org/officeDocument/2006/relationships/hyperlink" Target="https://www.amazon.in/dp/B0FLY7TMJD" TargetMode="External"/><Relationship Id="rId568" Type="http://schemas.openxmlformats.org/officeDocument/2006/relationships/hyperlink" Target="https://www.amazon.in/dp/B0GHS5RWPW" TargetMode="External"/><Relationship Id="rId569" Type="http://schemas.openxmlformats.org/officeDocument/2006/relationships/hyperlink" Target="https://www.amazon.in/boAt-Wanderer-Restrict-Parental-Controls/dp/B0D83BPRYP/ref=sr_1_24" TargetMode="External"/><Relationship Id="rId570" Type="http://schemas.openxmlformats.org/officeDocument/2006/relationships/hyperlink" Target="https://www.amazon.in/AuraVue-Display-Brightness-Premium-Bluetooth/dp/B0G4MB69F5/ref=sr_1_25" TargetMode="External"/><Relationship Id="rId571" Type="http://schemas.openxmlformats.org/officeDocument/2006/relationships/hyperlink" Target="https://www.amazon.in/dp/B0F4955HLQ" TargetMode="External"/><Relationship Id="rId572" Type="http://schemas.openxmlformats.org/officeDocument/2006/relationships/hyperlink" Target="https://www.amazon.in/boAt-Ultima-Regal-Crystal-Clear-Brightness/dp/B0DFLNMPK7/ref=sr_1_28" TargetMode="External"/><Relationship Id="rId573" Type="http://schemas.openxmlformats.org/officeDocument/2006/relationships/hyperlink" Target="https://www.amazon.in/dp/B0FBMGK45T" TargetMode="External"/><Relationship Id="rId574" Type="http://schemas.openxmlformats.org/officeDocument/2006/relationships/hyperlink" Target="https://www.amazon.in/boAt-Wave-Fortune-Bluetooth-Assistant/dp/B0D4M3NSV9/ref=sr_1_32" TargetMode="External"/><Relationship Id="rId575" Type="http://schemas.openxmlformats.org/officeDocument/2006/relationships/hyperlink" Target="https://www.amazon.in/Discovery-Emergency-Functional-Multiple-Tracking/dp/B0FLK54XSP/ref=sr_1_33" TargetMode="External"/><Relationship Id="rId576" Type="http://schemas.openxmlformats.org/officeDocument/2006/relationships/hyperlink" Target="https://www.amazon.in/boAt-Navigation-Activity-Tracker-Display/dp/B0DBLZLKPG/ref=sr_1_34" TargetMode="External"/><Relationship Id="rId577" Type="http://schemas.openxmlformats.org/officeDocument/2006/relationships/hyperlink" Target="https://www.amazon.in/boAt-Smartwatch-Monitoring-Geofencing-Compatible/dp/B0GSQVC7BR/ref=sr_1_35" TargetMode="External"/><Relationship Id="rId578" Type="http://schemas.openxmlformats.org/officeDocument/2006/relationships/hyperlink" Target="https://www.amazon.in/Fire-Boltt-Bluetooth-Calling-Assistance-Resolution/dp/B0BF54LXW6/ref=sr_1_36" TargetMode="External"/><Relationship Id="rId579" Type="http://schemas.openxmlformats.org/officeDocument/2006/relationships/hyperlink" Target="https://www.amazon.in/boAt-Auto-Activity-Detection-Advanced-Bluetooth/dp/B0F493G266/ref=sr_1_37" TargetMode="External"/><Relationship Id="rId580" Type="http://schemas.openxmlformats.org/officeDocument/2006/relationships/hyperlink" Target="https://www.amazon.in/boAt-Display-Emergency-Location-Sharing/dp/B0DFYJWSS7/ref=sr_1_38" TargetMode="External"/><Relationship Id="rId581" Type="http://schemas.openxmlformats.org/officeDocument/2006/relationships/hyperlink" Target="https://www.amazon.in/boAt-Brightness-Monitoring-Tracking-Smartwatch/dp/B0GPDP7WQD/ref=sr_1_39" TargetMode="External"/><Relationship Id="rId582" Type="http://schemas.openxmlformats.org/officeDocument/2006/relationships/hyperlink" Target="https://www.amazon.in/boAt-co-Designed-Brightness-Metallic-smartwatch/dp/B0GHRVD5LJ/ref=sr_1_40" TargetMode="External"/><Relationship Id="rId583" Type="http://schemas.openxmlformats.org/officeDocument/2006/relationships/hyperlink" Target="https://www.amazon.in/boAt-Metallic-Tracking-Bluetooth-Emergency/dp/B0H5QGRDX8/ref=sr_1_41" TargetMode="External"/><Relationship Id="rId584" Type="http://schemas.openxmlformats.org/officeDocument/2006/relationships/hyperlink" Target="https://www.amazon.in/dp/B0CQJZD55X" TargetMode="External"/><Relationship Id="rId585" Type="http://schemas.openxmlformats.org/officeDocument/2006/relationships/hyperlink" Target="https://www.amazon.in/dp/B0G2CD21GR" TargetMode="External"/><Relationship Id="rId586" Type="http://schemas.openxmlformats.org/officeDocument/2006/relationships/hyperlink" Target="https://www.amazon.in/Noise-Launched-Wireless-Playtime-Instacharge/dp/B0CQJWMMG7/ref=sr_1_3" TargetMode="External"/><Relationship Id="rId587" Type="http://schemas.openxmlformats.org/officeDocument/2006/relationships/hyperlink" Target="https://www.amazon.in/Noise-Bluetooth-Wireless-30-Hours-Instacharge/dp/B09Y5MK1KB/ref=sr_1_4" TargetMode="External"/><Relationship Id="rId588" Type="http://schemas.openxmlformats.org/officeDocument/2006/relationships/hyperlink" Target="https://www.amazon.in/dp/B0DK979YJ7" TargetMode="External"/><Relationship Id="rId589" Type="http://schemas.openxmlformats.org/officeDocument/2006/relationships/hyperlink" Target="https://www.amazon.in/dp/B0DGV6RP7C" TargetMode="External"/><Relationship Id="rId590" Type="http://schemas.openxmlformats.org/officeDocument/2006/relationships/hyperlink" Target="https://www.amazon.in/Noise-Wireless-Bluetooth-Playtime-Instacharge/dp/B0DS2XNXZB/ref=sr_1_7" TargetMode="External"/><Relationship Id="rId591" Type="http://schemas.openxmlformats.org/officeDocument/2006/relationships/hyperlink" Target="https://www.amazon.in/Noise-Wireless-Earbuds-Playtime-Resistant/dp/B0GCNML31G/ref=sr_1_8" TargetMode="External"/><Relationship Id="rId592" Type="http://schemas.openxmlformats.org/officeDocument/2006/relationships/hyperlink" Target="https://www.amazon.in/dp/B0FHW7PX1N" TargetMode="External"/><Relationship Id="rId593" Type="http://schemas.openxmlformats.org/officeDocument/2006/relationships/hyperlink" Target="https://www.amazon.in/Noise-Wireless-Earbuds-Playtime-Charcoal/dp/B0FZ9T5JBR/ref=sr_1_11" TargetMode="External"/><Relationship Id="rId594" Type="http://schemas.openxmlformats.org/officeDocument/2006/relationships/hyperlink" Target="https://www.amazon.in/Noise-Wireless-Earbuds-Playtime-Resistant/dp/B0GCNNWM13/ref=sr_1_12" TargetMode="External"/><Relationship Id="rId595" Type="http://schemas.openxmlformats.org/officeDocument/2006/relationships/hyperlink" Target="https://www.amazon.in/Noise-Wireless-Metallic-Playtime-Instacharge/dp/B0D4QLT8WG/ref=sr_1_13" TargetMode="External"/><Relationship Id="rId596" Type="http://schemas.openxmlformats.org/officeDocument/2006/relationships/hyperlink" Target="https://www.amazon.in/Noise-Wireless-Bluetooth-30-Hours-Instacharge/dp/B09Y5LL6P4/ref=sr_1_14" TargetMode="External"/><Relationship Id="rId597" Type="http://schemas.openxmlformats.org/officeDocument/2006/relationships/hyperlink" Target="https://www.amazon.in/Noise-Wireless-Earbuds-Playtime-Resistant/dp/B0GCNK81FR/ref=sr_1_15" TargetMode="External"/><Relationship Id="rId598" Type="http://schemas.openxmlformats.org/officeDocument/2006/relationships/hyperlink" Target="https://www.amazon.in/Noise-Launched-Wireless-Playtime-Transparent/dp/B0FHW8KKN9/ref=sr_1_17" TargetMode="External"/><Relationship Id="rId599" Type="http://schemas.openxmlformats.org/officeDocument/2006/relationships/hyperlink" Target="https://www.amazon.in/Noise-Wireless-Earbuds-Playtime-Latency/dp/B0FZ9Y2RJN/ref=sr_1_18" TargetMode="External"/><Relationship Id="rId600" Type="http://schemas.openxmlformats.org/officeDocument/2006/relationships/hyperlink" Target="https://www.amazon.in/Noise-Wireless-Earbuds-Playtime-Instacharge/dp/B0DS2WS827/ref=sr_1_19" TargetMode="External"/><Relationship Id="rId601" Type="http://schemas.openxmlformats.org/officeDocument/2006/relationships/hyperlink" Target="https://www.amazon.in/Noise-Launched-Wireless-Playtime-Instacharge/dp/B0FN7J4997/ref=sr_1_20" TargetMode="External"/><Relationship Id="rId602" Type="http://schemas.openxmlformats.org/officeDocument/2006/relationships/hyperlink" Target="https://www.amazon.in/Noise-Truly-Wireless-Bluetooth-Earbuds/dp/B0CYPYNNVT/ref=sr_1_21" TargetMode="External"/><Relationship Id="rId603" Type="http://schemas.openxmlformats.org/officeDocument/2006/relationships/hyperlink" Target="https://www.amazon.in/Noise-Launched-Wireless-Earbuds-Playtime/dp/B0GSZV3415/ref=sr_1_22" TargetMode="External"/><Relationship Id="rId604" Type="http://schemas.openxmlformats.org/officeDocument/2006/relationships/hyperlink" Target="https://www.amazon.in/dp/B0FTZD16TR" TargetMode="External"/><Relationship Id="rId605" Type="http://schemas.openxmlformats.org/officeDocument/2006/relationships/hyperlink" Target="https://www.amazon.in/Noise-Launched-Wireless-Instacharge-Composite/dp/B0CFYB2154/ref=sr_1_20" TargetMode="External"/><Relationship Id="rId606" Type="http://schemas.openxmlformats.org/officeDocument/2006/relationships/hyperlink" Target="https://www.amazon.in/Noise-Truly-Wireless-Bluetooth-Earbuds/dp/B0DNZTC6K7/ref=sr_1_21" TargetMode="External"/><Relationship Id="rId607" Type="http://schemas.openxmlformats.org/officeDocument/2006/relationships/hyperlink" Target="https://www.amazon.in/dp/B0FHW8RKCN" TargetMode="External"/><Relationship Id="rId608" Type="http://schemas.openxmlformats.org/officeDocument/2006/relationships/hyperlink" Target="https://www.amazon.in/dp/B0DGV5F9V4" TargetMode="External"/><Relationship Id="rId609" Type="http://schemas.openxmlformats.org/officeDocument/2006/relationships/hyperlink" Target="https://www.amazon.in/Noise-Wireless-Earbuds-Playtime-Instacharge/dp/B0GWD68R5S/ref=sr_1_24" TargetMode="External"/><Relationship Id="rId610" Type="http://schemas.openxmlformats.org/officeDocument/2006/relationships/hyperlink" Target="https://www.amazon.in/Noise-Wireless-Award-Winning-AI-Powered-Bluetooth/dp/B0GWDGNJC9/ref=sr_1_25" TargetMode="External"/><Relationship Id="rId611" Type="http://schemas.openxmlformats.org/officeDocument/2006/relationships/hyperlink" Target="https://www.amazon.in/dp/B0G2CD1LHF" TargetMode="External"/><Relationship Id="rId612" Type="http://schemas.openxmlformats.org/officeDocument/2006/relationships/hyperlink" Target="https://www.amazon.in/Noise-Bluetooth-Wireless-30-Hours-Instacharge/dp/B09Y5N4M7Z/ref=sr_1_28" TargetMode="External"/><Relationship Id="rId613" Type="http://schemas.openxmlformats.org/officeDocument/2006/relationships/hyperlink" Target="https://www.amazon.in/Noise-Spatial-Playtime-Instacharge-Metallic/dp/B0GWD513TF/ref=sr_1_29" TargetMode="External"/><Relationship Id="rId614" Type="http://schemas.openxmlformats.org/officeDocument/2006/relationships/hyperlink" Target="https://www.amazon.in/dp/B0H6B1L8N1" TargetMode="External"/><Relationship Id="rId615" Type="http://schemas.openxmlformats.org/officeDocument/2006/relationships/hyperlink" Target="https://www.amazon.in/dp/B0G2GGLTMF" TargetMode="External"/><Relationship Id="rId616" Type="http://schemas.openxmlformats.org/officeDocument/2006/relationships/hyperlink" Target="https://www.amazon.in/Noise-Wireless-Open-Earbuds-AI-Powered-Playtime/dp/B0GWD96NDL/ref=sr_1_32" TargetMode="External"/><Relationship Id="rId617" Type="http://schemas.openxmlformats.org/officeDocument/2006/relationships/hyperlink" Target="https://www.amazon.in/OnePlus-Playback-Translation-Dual-Device-Connectivity/dp/B0FMDL81GS/ref=sr_1_33" TargetMode="External"/><Relationship Id="rId618" Type="http://schemas.openxmlformats.org/officeDocument/2006/relationships/hyperlink" Target="https://www.amazon.in/Noise-Wireless-Open-Ear-C-Bridge-AirWaveTM/dp/B0G39WPJMS/ref=sr_1_34" TargetMode="External"/><Relationship Id="rId619" Type="http://schemas.openxmlformats.org/officeDocument/2006/relationships/hyperlink" Target="https://www.amazon.in/Noise-Launched-Wireless-Playtime-Instacharge/dp/B0CYPZ6RPK/ref=sr_1_35" TargetMode="External"/><Relationship Id="rId620" Type="http://schemas.openxmlformats.org/officeDocument/2006/relationships/hyperlink" Target="https://www.amazon.in/Noise-Launched-Connect-Wireless-Playtime/dp/B0FZ9YLWP1/ref=sr_1_37" TargetMode="External"/><Relationship Id="rId621" Type="http://schemas.openxmlformats.org/officeDocument/2006/relationships/hyperlink" Target="https://www.amazon.in/Noise-Wireless-Earbuds-Playtime-Equalizer/dp/B0C23MGYWM/ref=sr_1_38" TargetMode="External"/><Relationship Id="rId622" Type="http://schemas.openxmlformats.org/officeDocument/2006/relationships/hyperlink" Target="https://www.amazon.in/HAMMER-Playtime-Assistant-Lightweight-Dual-Tone/dp/B0GDTRYXYF/ref=sr_1_39" TargetMode="External"/><Relationship Id="rId623" Type="http://schemas.openxmlformats.org/officeDocument/2006/relationships/hyperlink" Target="https://www.amazon.in/boAt-Airdopes-Pocketable-Controls-Bluetooth/dp/B0GZNHB218/ref=sr_1_40" TargetMode="External"/><Relationship Id="rId624" Type="http://schemas.openxmlformats.org/officeDocument/2006/relationships/hyperlink" Target="https://www.amazon.in/realme-Wireless-Earbuds-Dynamic-Playback/dp/B0FBR6HGXM/ref=sr_1_41" TargetMode="External"/><Relationship Id="rId625" Type="http://schemas.openxmlformats.org/officeDocument/2006/relationships/hyperlink" Target="https://www.amazon.in/dp/B0GMKL443R" TargetMode="External"/><Relationship Id="rId626" Type="http://schemas.openxmlformats.org/officeDocument/2006/relationships/hyperlink" Target="https://www.amazon.in/dp/B0D7QK57R7" TargetMode="External"/><Relationship Id="rId627" Type="http://schemas.openxmlformats.org/officeDocument/2006/relationships/hyperlink" Target="https://www.amazon.in/Noise-Launched-Bluetooth-Calling-Tracking/dp/B0BJ72WZQ7/ref=sr_1_3" TargetMode="External"/><Relationship Id="rId628" Type="http://schemas.openxmlformats.org/officeDocument/2006/relationships/hyperlink" Target="https://www.amazon.in/Noise-Advanced-Bluetooth-Brightness-Smartwatch/dp/B0B6BLTGTT/ref=sr_1_4" TargetMode="External"/><Relationship Id="rId629" Type="http://schemas.openxmlformats.org/officeDocument/2006/relationships/hyperlink" Target="https://www.amazon.in/dp/B0FNCPKFP6" TargetMode="External"/><Relationship Id="rId630" Type="http://schemas.openxmlformats.org/officeDocument/2006/relationships/hyperlink" Target="https://www.amazon.in/dp/B0D6N83X6D" TargetMode="External"/><Relationship Id="rId631" Type="http://schemas.openxmlformats.org/officeDocument/2006/relationships/hyperlink" Target="https://www.amazon.in/Noise-Launched-Bluetooth-Detection-Smartwatch/dp/B0CQRQK8L8/ref=sr_1_7" TargetMode="External"/><Relationship Id="rId632" Type="http://schemas.openxmlformats.org/officeDocument/2006/relationships/hyperlink" Target="https://www.amazon.in/Noise-Display-Functional-Premium-Metallic/dp/B0D6GK2871/ref=sr_1_8" TargetMode="External"/><Relationship Id="rId633" Type="http://schemas.openxmlformats.org/officeDocument/2006/relationships/hyperlink" Target="https://www.amazon.in/dp/B0DSF243J4" TargetMode="External"/><Relationship Id="rId634" Type="http://schemas.openxmlformats.org/officeDocument/2006/relationships/hyperlink" Target="https://www.amazon.in/dp/B0GT5FZQ6Y" TargetMode="External"/><Relationship Id="rId635" Type="http://schemas.openxmlformats.org/officeDocument/2006/relationships/hyperlink" Target="https://www.amazon.in/Noise-Launched-Bluetooth-Assistance-Metallic/dp/B0BW4BFBD5/ref=sr_1_11" TargetMode="External"/><Relationship Id="rId636" Type="http://schemas.openxmlformats.org/officeDocument/2006/relationships/hyperlink" Target="https://www.amazon.in/Noise-Launched-Display-Calling-Battery/dp/B0CG1Y3336/ref=sr_1_12" TargetMode="External"/><Relationship Id="rId637" Type="http://schemas.openxmlformats.org/officeDocument/2006/relationships/hyperlink" Target="https://www.amazon.in/Smartwatch-Display-Animated-Functional-Multiple/dp/B0FLF41YJ4/ref=sr_1_13" TargetMode="External"/><Relationship Id="rId638" Type="http://schemas.openxmlformats.org/officeDocument/2006/relationships/hyperlink" Target="https://www.amazon.in/Noise-Vibrant-Bluetooth-Metallic-Assistance/dp/B0DNQQ67JY/ref=sr_1_14" TargetMode="External"/><Relationship Id="rId639" Type="http://schemas.openxmlformats.org/officeDocument/2006/relationships/hyperlink" Target="https://www.amazon.in/Noise-ColorFit-Icon-Smartwatch-Starlight/dp/B0F4RH8CHC/ref=sr_1_15" TargetMode="External"/><Relationship Id="rId640" Type="http://schemas.openxmlformats.org/officeDocument/2006/relationships/hyperlink" Target="https://www.amazon.in/Noise-Display-TruSync&#7488;&#7481;-Tracking-Midnight/dp/B0FPCZ6Q8Y/ref=sr_1_16" TargetMode="External"/><Relationship Id="rId641" Type="http://schemas.openxmlformats.org/officeDocument/2006/relationships/hyperlink" Target="https://www.amazon.in/Noise-Bluetooth-Calling-Display-Tracking/dp/B0GMK9KF8Z/ref=sr_1_17" TargetMode="External"/><Relationship Id="rId642" Type="http://schemas.openxmlformats.org/officeDocument/2006/relationships/hyperlink" Target="https://www.amazon.in/Noise-Immersive-Smartwatch-Resistant-Functional/dp/B0F4RHPQPN/ref=sr_1_18" TargetMode="External"/><Relationship Id="rId643" Type="http://schemas.openxmlformats.org/officeDocument/2006/relationships/hyperlink" Target="https://www.amazon.in/Noise-NoiseFit-Halo-Smartwatch-Elite/dp/B0FQV97BWX/ref=sr_1_19" TargetMode="External"/><Relationship Id="rId644" Type="http://schemas.openxmlformats.org/officeDocument/2006/relationships/hyperlink" Target="https://www.amazon.in/Noise-Bluetooth-Tracking-Detection-Midnight/dp/B0B5LWP12T/ref=sr_1_20" TargetMode="External"/><Relationship Id="rId645" Type="http://schemas.openxmlformats.org/officeDocument/2006/relationships/hyperlink" Target="https://www.amazon.in/Noise-Compatible-Geofencing-Monitoring-Emergency/dp/B0FC6CGZTP/ref=sr_1_21" TargetMode="External"/><Relationship Id="rId646" Type="http://schemas.openxmlformats.org/officeDocument/2006/relationships/hyperlink" Target="https://www.amazon.in/NoiseFit-Bluetooth-Functional-Assistance-Tracker/dp/B0BMVRPGH5/ref=sr_1_22" TargetMode="External"/><Relationship Id="rId647" Type="http://schemas.openxmlformats.org/officeDocument/2006/relationships/hyperlink" Target="https://www.amazon.in/Fire-Boltt-Bluetooth-Calling-Assistance-Resolution/dp/B0BF4YBLPX/ref=sr_1_20" TargetMode="External"/><Relationship Id="rId648" Type="http://schemas.openxmlformats.org/officeDocument/2006/relationships/hyperlink" Target="https://www.amazon.in/NoiseFit-Display-Bluetooth-Calling-Metallic/dp/B0BNNC7R2W/ref=sr_1_21" TargetMode="External"/><Relationship Id="rId649" Type="http://schemas.openxmlformats.org/officeDocument/2006/relationships/hyperlink" Target="https://www.amazon.in/dp/B0D6N5V9PY" TargetMode="External"/><Relationship Id="rId650" Type="http://schemas.openxmlformats.org/officeDocument/2006/relationships/hyperlink" Target="https://www.amazon.in/dp/B0BN1X7ZVT" TargetMode="External"/><Relationship Id="rId651" Type="http://schemas.openxmlformats.org/officeDocument/2006/relationships/hyperlink" Target="https://www.amazon.in/Noise-Launched-Endeavour-Display-Calling/dp/B0CG1T39PB/ref=sr_1_24" TargetMode="External"/><Relationship Id="rId652" Type="http://schemas.openxmlformats.org/officeDocument/2006/relationships/hyperlink" Target="https://www.amazon.in/Noise-Display-Bluetooth-Calling-Stainless/dp/B0C4Q5HNMH/ref=sr_1_25" TargetMode="External"/><Relationship Id="rId653" Type="http://schemas.openxmlformats.org/officeDocument/2006/relationships/hyperlink" Target="https://www.amazon.in/dp/B0D4Q7CH4M" TargetMode="External"/><Relationship Id="rId654" Type="http://schemas.openxmlformats.org/officeDocument/2006/relationships/hyperlink" Target="https://www.amazon.in/dp/B0GT5BKZB2" TargetMode="External"/><Relationship Id="rId655" Type="http://schemas.openxmlformats.org/officeDocument/2006/relationships/hyperlink" Target="https://www.amazon.in/Noise-Switchable-Bumpers-Learning-Parental/dp/B0FC69FZ5N/ref=sr_1_29" TargetMode="External"/><Relationship Id="rId656" Type="http://schemas.openxmlformats.org/officeDocument/2006/relationships/hyperlink" Target="https://www.amazon.in/dp/B0C497MSQN" TargetMode="External"/><Relationship Id="rId657" Type="http://schemas.openxmlformats.org/officeDocument/2006/relationships/hyperlink" Target="https://www.amazon.in/dp/B0G61HJYR3" TargetMode="External"/><Relationship Id="rId658" Type="http://schemas.openxmlformats.org/officeDocument/2006/relationships/hyperlink" Target="https://www.amazon.in/Noise-Smartwatch-Diamond-Metallic-Display/dp/B0C5X2JV72/ref=sr_1_32" TargetMode="External"/><Relationship Id="rId659" Type="http://schemas.openxmlformats.org/officeDocument/2006/relationships/hyperlink" Target="https://www.amazon.in/Noise-Smartwatch-Tracking-Temperature-Location/dp/B0FWCRMYGT/ref=sr_1_34" TargetMode="External"/><Relationship Id="rId660" Type="http://schemas.openxmlformats.org/officeDocument/2006/relationships/hyperlink" Target="https://www.amazon.in/Fire-Boltt-Stainless-Bluetooth-Assistant-Monitoring/dp/B0DT9ZPRRB/ref=sr_1_35" TargetMode="External"/><Relationship Id="rId661" Type="http://schemas.openxmlformats.org/officeDocument/2006/relationships/hyperlink" Target="https://www.amazon.in/Noise-Biggest-personalization-Productivity-Rosegold/dp/B0CFYP7XR3/ref=sr_1_36" TargetMode="External"/><Relationship Id="rId662" Type="http://schemas.openxmlformats.org/officeDocument/2006/relationships/hyperlink" Target="https://www.amazon.in/Bouncefit-D20-Fitness-Band-Smartwatch/dp/B0C6F3Z5Y1/ref=sr_1_37" TargetMode="External"/><Relationship Id="rId663" Type="http://schemas.openxmlformats.org/officeDocument/2006/relationships/hyperlink" Target="https://www.amazon.in/Noise-Original-Watch-ColorFit-Smartwatches/dp/B0H83PPKPD/ref=sr_1_38" TargetMode="External"/><Relationship Id="rId664" Type="http://schemas.openxmlformats.org/officeDocument/2006/relationships/hyperlink" Target="https://www.amazon.in/iTronix-Replacement-ColorFit-NoiseFit-Smartwatches/dp/B09HN6QB25/ref=sr_1_39" TargetMode="External"/><Relationship Id="rId665" Type="http://schemas.openxmlformats.org/officeDocument/2006/relationships/hyperlink" Target="https://www.amazon.in/beautss-Premium-Flexible-Protector-Smartwatch/dp/B0BGRQTVXY/ref=sr_1_40" TargetMode="External"/><Relationship Id="rId666" Type="http://schemas.openxmlformats.org/officeDocument/2006/relationships/hyperlink" Target="https://www.amazon.in/Strapy-Silicone-Colorfit-Smartwatch-Classic/dp/B0BJC66JCC/ref=sr_1_41" TargetMode="External"/><Relationship Id="rId667"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05"/>
  </cols>
  <sheetData>
    <row r="1" customFormat="false" ht="19.7" hidden="false" customHeight="false" outlineLevel="0" collapsed="false">
      <c r="B1" s="1" t="s">
        <v>0</v>
      </c>
    </row>
    <row r="3" customFormat="false" ht="15" hidden="false" customHeight="false" outlineLevel="0" collapsed="false">
      <c r="B3" s="2" t="s">
        <v>1</v>
      </c>
    </row>
    <row r="4" customFormat="false" ht="35.05" hidden="false" customHeight="false" outlineLevel="0" collapsed="false">
      <c r="B4" s="3" t="s">
        <v>2</v>
      </c>
    </row>
    <row r="6" customFormat="false" ht="15" hidden="false" customHeight="false" outlineLevel="0" collapsed="false">
      <c r="B6" s="4" t="s">
        <v>3</v>
      </c>
    </row>
    <row r="7" customFormat="false" ht="15" hidden="false" customHeight="false" outlineLevel="0" collapsed="false">
      <c r="B7" s="3" t="s">
        <v>4</v>
      </c>
    </row>
    <row r="8" customFormat="false" ht="23.85" hidden="false" customHeight="false" outlineLevel="0" collapsed="false">
      <c r="B8" s="3" t="s">
        <v>5</v>
      </c>
    </row>
    <row r="9" customFormat="false" ht="15" hidden="false" customHeight="false" outlineLevel="0" collapsed="false">
      <c r="B9" s="3" t="s">
        <v>6</v>
      </c>
    </row>
    <row r="11" customFormat="false" ht="15" hidden="false" customHeight="false" outlineLevel="0" collapsed="false">
      <c r="B11" s="2" t="s">
        <v>7</v>
      </c>
    </row>
    <row r="12" customFormat="false" ht="90" hidden="false" customHeight="true" outlineLevel="0" collapsed="false">
      <c r="B12" s="3" t="s">
        <v>8</v>
      </c>
    </row>
    <row r="14" customFormat="false" ht="60" hidden="false" customHeight="true" outlineLevel="0" collapsed="false">
      <c r="B14" s="3" t="s">
        <v>9</v>
      </c>
    </row>
    <row r="16" customFormat="false" ht="15" hidden="false" customHeight="false" outlineLevel="0" collapsed="false">
      <c r="B16" s="3" t="s">
        <v>10</v>
      </c>
    </row>
    <row r="18" customFormat="false" ht="45" hidden="false" customHeight="true" outlineLevel="0" collapsed="false">
      <c r="B18" s="3" t="s">
        <v>11</v>
      </c>
    </row>
    <row r="20" customFormat="false" ht="75" hidden="false" customHeight="true" outlineLevel="0" collapsed="false">
      <c r="B20" s="3" t="s">
        <v>12</v>
      </c>
    </row>
    <row r="22" customFormat="false" ht="45" hidden="false" customHeight="true" outlineLevel="0" collapsed="false">
      <c r="B22" s="3" t="s">
        <v>13</v>
      </c>
    </row>
    <row r="24" customFormat="false" ht="15" hidden="false" customHeight="false" outlineLevel="0" collapsed="false">
      <c r="B24" s="2" t="s">
        <v>14</v>
      </c>
    </row>
    <row r="25" customFormat="false" ht="15" hidden="false" customHeight="false" outlineLevel="0" collapsed="false">
      <c r="B25" s="3" t="s">
        <v>15</v>
      </c>
    </row>
    <row r="26" customFormat="false" ht="15" hidden="false" customHeight="false" outlineLevel="0" collapsed="false">
      <c r="B26" s="3" t="s">
        <v>16</v>
      </c>
    </row>
    <row r="27" customFormat="false" ht="15" hidden="false" customHeight="false" outlineLevel="0" collapsed="false">
      <c r="B27" s="3" t="s">
        <v>17</v>
      </c>
    </row>
    <row r="28" customFormat="false" ht="15" hidden="false" customHeight="false" outlineLevel="0" collapsed="false">
      <c r="B28" s="3" t="s">
        <v>18</v>
      </c>
    </row>
    <row r="30" customFormat="false" ht="15" hidden="false" customHeight="false" outlineLevel="0" collapsed="false">
      <c r="B30" s="2" t="s">
        <v>19</v>
      </c>
    </row>
    <row r="31" customFormat="false" ht="90" hidden="false" customHeight="true" outlineLevel="0" collapsed="false">
      <c r="B31"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7"/>
    <col collapsed="false" customWidth="true" hidden="false" outlineLevel="0" max="4" min="4" style="0" width="11"/>
    <col collapsed="false" customWidth="true" hidden="false" outlineLevel="0" max="5" min="5" style="0" width="16"/>
    <col collapsed="false" customWidth="true" hidden="false" outlineLevel="0" max="6" min="6" style="0" width="20"/>
    <col collapsed="false" customWidth="true" hidden="false" outlineLevel="0" max="7" min="7" style="0" width="12"/>
    <col collapsed="false" customWidth="true" hidden="false" outlineLevel="0" max="8" min="8" style="0" width="60"/>
    <col collapsed="false" customWidth="true" hidden="false" outlineLevel="0" max="9" min="9" style="0" width="10"/>
    <col collapsed="false" customWidth="true" hidden="false" outlineLevel="0" max="10" min="10" style="0" width="45"/>
  </cols>
  <sheetData>
    <row r="1" customFormat="false" ht="15" hidden="false" customHeight="false" outlineLevel="0" collapsed="false">
      <c r="A1" s="5" t="s">
        <v>21</v>
      </c>
      <c r="B1" s="5" t="s">
        <v>22</v>
      </c>
      <c r="C1" s="5" t="s">
        <v>23</v>
      </c>
      <c r="D1" s="5" t="s">
        <v>24</v>
      </c>
      <c r="E1" s="5" t="s">
        <v>25</v>
      </c>
      <c r="F1" s="5" t="s">
        <v>26</v>
      </c>
      <c r="G1" s="5" t="s">
        <v>27</v>
      </c>
      <c r="H1" s="5" t="s">
        <v>28</v>
      </c>
      <c r="I1" s="5" t="s">
        <v>29</v>
      </c>
      <c r="J1" s="5" t="s">
        <v>30</v>
      </c>
    </row>
    <row r="2" customFormat="false" ht="15" hidden="false" customHeight="false" outlineLevel="0" collapsed="false">
      <c r="A2" s="6" t="s">
        <v>31</v>
      </c>
      <c r="B2" s="6" t="n">
        <v>3</v>
      </c>
      <c r="C2" s="6" t="n">
        <v>1</v>
      </c>
      <c r="D2" s="6" t="s">
        <v>32</v>
      </c>
      <c r="E2" s="6" t="s">
        <v>33</v>
      </c>
      <c r="F2" s="6"/>
      <c r="G2" s="6" t="s">
        <v>34</v>
      </c>
      <c r="H2" s="6" t="s">
        <v>35</v>
      </c>
      <c r="I2" s="6" t="s">
        <v>36</v>
      </c>
      <c r="J2" s="7" t="s">
        <v>37</v>
      </c>
    </row>
    <row r="3" customFormat="false" ht="15" hidden="false" customHeight="false" outlineLevel="0" collapsed="false">
      <c r="A3" s="6" t="s">
        <v>31</v>
      </c>
      <c r="B3" s="6" t="n">
        <v>4</v>
      </c>
      <c r="C3" s="6" t="n">
        <v>1</v>
      </c>
      <c r="D3" s="6" t="s">
        <v>32</v>
      </c>
      <c r="E3" s="6" t="s">
        <v>38</v>
      </c>
      <c r="F3" s="6"/>
      <c r="G3" s="6" t="s">
        <v>39</v>
      </c>
      <c r="H3" s="6" t="s">
        <v>38</v>
      </c>
      <c r="I3" s="6" t="s">
        <v>40</v>
      </c>
      <c r="J3" s="7" t="s">
        <v>41</v>
      </c>
    </row>
    <row r="4" customFormat="false" ht="15" hidden="false" customHeight="false" outlineLevel="0" collapsed="false">
      <c r="A4" s="6" t="s">
        <v>31</v>
      </c>
      <c r="B4" s="6" t="n">
        <v>5</v>
      </c>
      <c r="C4" s="6" t="n">
        <v>1</v>
      </c>
      <c r="D4" s="6" t="s">
        <v>42</v>
      </c>
      <c r="E4" s="6" t="s">
        <v>38</v>
      </c>
      <c r="F4" s="6"/>
      <c r="G4" s="6" t="s">
        <v>43</v>
      </c>
      <c r="H4" s="6" t="s">
        <v>38</v>
      </c>
      <c r="I4" s="6" t="s">
        <v>44</v>
      </c>
      <c r="J4" s="7" t="s">
        <v>45</v>
      </c>
    </row>
    <row r="5" customFormat="false" ht="15" hidden="false" customHeight="false" outlineLevel="0" collapsed="false">
      <c r="A5" s="6" t="s">
        <v>31</v>
      </c>
      <c r="B5" s="6" t="n">
        <v>6</v>
      </c>
      <c r="C5" s="6" t="n">
        <v>1</v>
      </c>
      <c r="D5" s="6" t="s">
        <v>42</v>
      </c>
      <c r="E5" s="6" t="s">
        <v>38</v>
      </c>
      <c r="F5" s="6"/>
      <c r="G5" s="6" t="s">
        <v>46</v>
      </c>
      <c r="H5" s="6" t="s">
        <v>38</v>
      </c>
      <c r="I5" s="6" t="s">
        <v>47</v>
      </c>
      <c r="J5" s="7" t="s">
        <v>48</v>
      </c>
    </row>
    <row r="6" customFormat="false" ht="15" hidden="false" customHeight="false" outlineLevel="0" collapsed="false">
      <c r="A6" s="6" t="s">
        <v>31</v>
      </c>
      <c r="B6" s="6" t="n">
        <v>7</v>
      </c>
      <c r="C6" s="6" t="n">
        <v>1</v>
      </c>
      <c r="D6" s="6" t="s">
        <v>32</v>
      </c>
      <c r="E6" s="6" t="s">
        <v>49</v>
      </c>
      <c r="F6" s="6"/>
      <c r="G6" s="6" t="s">
        <v>50</v>
      </c>
      <c r="H6" s="6" t="s">
        <v>49</v>
      </c>
      <c r="I6" s="6" t="s">
        <v>51</v>
      </c>
      <c r="J6" s="7" t="s">
        <v>52</v>
      </c>
    </row>
    <row r="7" customFormat="false" ht="15" hidden="false" customHeight="false" outlineLevel="0" collapsed="false">
      <c r="A7" s="6" t="s">
        <v>31</v>
      </c>
      <c r="B7" s="6" t="n">
        <v>8</v>
      </c>
      <c r="C7" s="6" t="n">
        <v>1</v>
      </c>
      <c r="D7" s="6" t="s">
        <v>32</v>
      </c>
      <c r="E7" s="6" t="s">
        <v>49</v>
      </c>
      <c r="F7" s="6"/>
      <c r="G7" s="6" t="s">
        <v>53</v>
      </c>
      <c r="H7" s="6" t="s">
        <v>49</v>
      </c>
      <c r="I7" s="6" t="s">
        <v>51</v>
      </c>
      <c r="J7" s="7" t="s">
        <v>54</v>
      </c>
    </row>
    <row r="8" customFormat="false" ht="15" hidden="false" customHeight="false" outlineLevel="0" collapsed="false">
      <c r="A8" s="6" t="s">
        <v>31</v>
      </c>
      <c r="B8" s="6" t="n">
        <v>12</v>
      </c>
      <c r="C8" s="6" t="n">
        <v>1</v>
      </c>
      <c r="D8" s="6" t="s">
        <v>42</v>
      </c>
      <c r="E8" s="6" t="s">
        <v>55</v>
      </c>
      <c r="F8" s="6"/>
      <c r="G8" s="6" t="s">
        <v>56</v>
      </c>
      <c r="H8" s="6" t="s">
        <v>57</v>
      </c>
      <c r="I8" s="6" t="s">
        <v>58</v>
      </c>
      <c r="J8" s="7" t="s">
        <v>59</v>
      </c>
    </row>
    <row r="9" customFormat="false" ht="15" hidden="false" customHeight="false" outlineLevel="0" collapsed="false">
      <c r="A9" s="6" t="s">
        <v>31</v>
      </c>
      <c r="B9" s="6" t="n">
        <v>13</v>
      </c>
      <c r="C9" s="6" t="n">
        <v>1</v>
      </c>
      <c r="D9" s="6" t="s">
        <v>42</v>
      </c>
      <c r="E9" s="6" t="s">
        <v>38</v>
      </c>
      <c r="F9" s="6"/>
      <c r="G9" s="6" t="s">
        <v>60</v>
      </c>
      <c r="H9" s="6" t="s">
        <v>38</v>
      </c>
      <c r="I9" s="6" t="s">
        <v>61</v>
      </c>
      <c r="J9" s="7" t="s">
        <v>62</v>
      </c>
    </row>
    <row r="10" customFormat="false" ht="15" hidden="false" customHeight="false" outlineLevel="0" collapsed="false">
      <c r="A10" s="6" t="s">
        <v>31</v>
      </c>
      <c r="B10" s="6" t="n">
        <v>14</v>
      </c>
      <c r="C10" s="6" t="n">
        <v>1</v>
      </c>
      <c r="D10" s="6" t="s">
        <v>32</v>
      </c>
      <c r="E10" s="6" t="s">
        <v>49</v>
      </c>
      <c r="F10" s="6"/>
      <c r="G10" s="6" t="s">
        <v>63</v>
      </c>
      <c r="H10" s="6" t="s">
        <v>49</v>
      </c>
      <c r="I10" s="6" t="s">
        <v>64</v>
      </c>
      <c r="J10" s="7" t="s">
        <v>65</v>
      </c>
    </row>
    <row r="11" customFormat="false" ht="15" hidden="false" customHeight="false" outlineLevel="0" collapsed="false">
      <c r="A11" s="6" t="s">
        <v>31</v>
      </c>
      <c r="B11" s="6" t="n">
        <v>15</v>
      </c>
      <c r="C11" s="6" t="n">
        <v>1</v>
      </c>
      <c r="D11" s="6" t="s">
        <v>32</v>
      </c>
      <c r="E11" s="6" t="s">
        <v>66</v>
      </c>
      <c r="F11" s="6"/>
      <c r="G11" s="6" t="s">
        <v>67</v>
      </c>
      <c r="H11" s="6" t="s">
        <v>68</v>
      </c>
      <c r="I11" s="6" t="s">
        <v>40</v>
      </c>
      <c r="J11" s="7" t="s">
        <v>69</v>
      </c>
    </row>
    <row r="12" customFormat="false" ht="15" hidden="false" customHeight="false" outlineLevel="0" collapsed="false">
      <c r="A12" s="6" t="s">
        <v>31</v>
      </c>
      <c r="B12" s="6" t="n">
        <v>16</v>
      </c>
      <c r="C12" s="6" t="n">
        <v>1</v>
      </c>
      <c r="D12" s="6" t="s">
        <v>42</v>
      </c>
      <c r="E12" s="6" t="s">
        <v>38</v>
      </c>
      <c r="F12" s="6"/>
      <c r="G12" s="6" t="s">
        <v>70</v>
      </c>
      <c r="H12" s="6" t="s">
        <v>38</v>
      </c>
      <c r="I12" s="6" t="s">
        <v>44</v>
      </c>
      <c r="J12" s="7" t="s">
        <v>71</v>
      </c>
    </row>
    <row r="13" customFormat="false" ht="15" hidden="false" customHeight="false" outlineLevel="0" collapsed="false">
      <c r="A13" s="6" t="s">
        <v>31</v>
      </c>
      <c r="B13" s="6" t="n">
        <v>17</v>
      </c>
      <c r="C13" s="6" t="n">
        <v>1</v>
      </c>
      <c r="D13" s="6" t="s">
        <v>42</v>
      </c>
      <c r="E13" s="6" t="s">
        <v>38</v>
      </c>
      <c r="F13" s="6"/>
      <c r="G13" s="6" t="s">
        <v>72</v>
      </c>
      <c r="H13" s="6" t="s">
        <v>38</v>
      </c>
      <c r="I13" s="6" t="s">
        <v>47</v>
      </c>
      <c r="J13" s="7" t="s">
        <v>73</v>
      </c>
    </row>
    <row r="14" customFormat="false" ht="15" hidden="false" customHeight="false" outlineLevel="0" collapsed="false">
      <c r="A14" s="6" t="s">
        <v>31</v>
      </c>
      <c r="B14" s="6" t="n">
        <v>18</v>
      </c>
      <c r="C14" s="6" t="n">
        <v>1</v>
      </c>
      <c r="D14" s="6" t="s">
        <v>42</v>
      </c>
      <c r="E14" s="6" t="s">
        <v>38</v>
      </c>
      <c r="F14" s="6"/>
      <c r="G14" s="6" t="s">
        <v>74</v>
      </c>
      <c r="H14" s="6" t="s">
        <v>38</v>
      </c>
      <c r="I14" s="6" t="s">
        <v>47</v>
      </c>
      <c r="J14" s="7" t="s">
        <v>75</v>
      </c>
    </row>
    <row r="15" customFormat="false" ht="15" hidden="false" customHeight="false" outlineLevel="0" collapsed="false">
      <c r="A15" s="6" t="s">
        <v>31</v>
      </c>
      <c r="B15" s="6" t="n">
        <v>19</v>
      </c>
      <c r="C15" s="6" t="n">
        <v>1</v>
      </c>
      <c r="D15" s="6" t="s">
        <v>42</v>
      </c>
      <c r="E15" s="6" t="s">
        <v>76</v>
      </c>
      <c r="F15" s="6"/>
      <c r="G15" s="6" t="s">
        <v>77</v>
      </c>
      <c r="H15" s="6" t="s">
        <v>78</v>
      </c>
      <c r="I15" s="6" t="s">
        <v>79</v>
      </c>
      <c r="J15" s="7" t="s">
        <v>80</v>
      </c>
    </row>
    <row r="16" customFormat="false" ht="15" hidden="false" customHeight="false" outlineLevel="0" collapsed="false">
      <c r="A16" s="6" t="s">
        <v>31</v>
      </c>
      <c r="B16" s="6" t="n">
        <v>20</v>
      </c>
      <c r="C16" s="6" t="n">
        <v>1</v>
      </c>
      <c r="D16" s="6" t="s">
        <v>42</v>
      </c>
      <c r="E16" s="6" t="s">
        <v>38</v>
      </c>
      <c r="F16" s="6"/>
      <c r="G16" s="6" t="s">
        <v>81</v>
      </c>
      <c r="H16" s="6" t="s">
        <v>38</v>
      </c>
      <c r="I16" s="6" t="s">
        <v>82</v>
      </c>
      <c r="J16" s="7" t="s">
        <v>83</v>
      </c>
    </row>
    <row r="17" customFormat="false" ht="15" hidden="false" customHeight="false" outlineLevel="0" collapsed="false">
      <c r="A17" s="6" t="s">
        <v>31</v>
      </c>
      <c r="B17" s="6" t="n">
        <v>25</v>
      </c>
      <c r="C17" s="6" t="n">
        <v>1</v>
      </c>
      <c r="D17" s="6" t="s">
        <v>42</v>
      </c>
      <c r="E17" s="6" t="s">
        <v>38</v>
      </c>
      <c r="F17" s="6"/>
      <c r="G17" s="6" t="s">
        <v>84</v>
      </c>
      <c r="H17" s="6" t="s">
        <v>38</v>
      </c>
      <c r="I17" s="6" t="s">
        <v>82</v>
      </c>
      <c r="J17" s="7" t="s">
        <v>85</v>
      </c>
    </row>
    <row r="18" customFormat="false" ht="15" hidden="false" customHeight="false" outlineLevel="0" collapsed="false">
      <c r="A18" s="6" t="s">
        <v>31</v>
      </c>
      <c r="B18" s="6" t="n">
        <v>26</v>
      </c>
      <c r="C18" s="6" t="n">
        <v>1</v>
      </c>
      <c r="D18" s="6" t="s">
        <v>42</v>
      </c>
      <c r="E18" s="6" t="s">
        <v>38</v>
      </c>
      <c r="F18" s="6"/>
      <c r="G18" s="6" t="s">
        <v>86</v>
      </c>
      <c r="H18" s="6" t="s">
        <v>38</v>
      </c>
      <c r="I18" s="6" t="s">
        <v>87</v>
      </c>
      <c r="J18" s="7" t="s">
        <v>88</v>
      </c>
    </row>
    <row r="19" customFormat="false" ht="15" hidden="false" customHeight="false" outlineLevel="0" collapsed="false">
      <c r="A19" s="6" t="s">
        <v>31</v>
      </c>
      <c r="B19" s="6" t="n">
        <v>27</v>
      </c>
      <c r="C19" s="6" t="n">
        <v>1</v>
      </c>
      <c r="D19" s="6" t="s">
        <v>42</v>
      </c>
      <c r="E19" s="6" t="s">
        <v>38</v>
      </c>
      <c r="F19" s="6"/>
      <c r="G19" s="6" t="s">
        <v>89</v>
      </c>
      <c r="H19" s="6" t="s">
        <v>38</v>
      </c>
      <c r="I19" s="6" t="s">
        <v>90</v>
      </c>
      <c r="J19" s="7" t="s">
        <v>91</v>
      </c>
    </row>
    <row r="20" customFormat="false" ht="15" hidden="false" customHeight="false" outlineLevel="0" collapsed="false">
      <c r="A20" s="6" t="s">
        <v>31</v>
      </c>
      <c r="B20" s="6" t="n">
        <v>28</v>
      </c>
      <c r="C20" s="6" t="n">
        <v>1</v>
      </c>
      <c r="D20" s="6" t="s">
        <v>42</v>
      </c>
      <c r="E20" s="6" t="s">
        <v>33</v>
      </c>
      <c r="F20" s="6"/>
      <c r="G20" s="6" t="s">
        <v>92</v>
      </c>
      <c r="H20" s="6" t="s">
        <v>35</v>
      </c>
      <c r="I20" s="6" t="s">
        <v>93</v>
      </c>
      <c r="J20" s="7" t="s">
        <v>94</v>
      </c>
    </row>
    <row r="21" customFormat="false" ht="15" hidden="false" customHeight="false" outlineLevel="0" collapsed="false">
      <c r="A21" s="6" t="s">
        <v>31</v>
      </c>
      <c r="B21" s="6" t="n">
        <v>29</v>
      </c>
      <c r="C21" s="6" t="n">
        <v>1</v>
      </c>
      <c r="D21" s="6" t="s">
        <v>42</v>
      </c>
      <c r="E21" s="6" t="s">
        <v>38</v>
      </c>
      <c r="F21" s="6"/>
      <c r="G21" s="6" t="s">
        <v>95</v>
      </c>
      <c r="H21" s="6" t="s">
        <v>38</v>
      </c>
      <c r="I21" s="6" t="s">
        <v>44</v>
      </c>
      <c r="J21" s="7" t="s">
        <v>96</v>
      </c>
    </row>
    <row r="22" customFormat="false" ht="15" hidden="false" customHeight="false" outlineLevel="0" collapsed="false">
      <c r="A22" s="6" t="s">
        <v>31</v>
      </c>
      <c r="B22" s="6" t="n">
        <v>30</v>
      </c>
      <c r="C22" s="6" t="n">
        <v>1</v>
      </c>
      <c r="D22" s="6" t="s">
        <v>42</v>
      </c>
      <c r="E22" s="6" t="s">
        <v>38</v>
      </c>
      <c r="F22" s="6"/>
      <c r="G22" s="6" t="s">
        <v>97</v>
      </c>
      <c r="H22" s="6" t="s">
        <v>38</v>
      </c>
      <c r="I22" s="6" t="s">
        <v>98</v>
      </c>
      <c r="J22" s="7" t="s">
        <v>99</v>
      </c>
    </row>
    <row r="23" customFormat="false" ht="15" hidden="false" customHeight="false" outlineLevel="0" collapsed="false">
      <c r="A23" s="6" t="s">
        <v>31</v>
      </c>
      <c r="B23" s="6" t="n">
        <v>31</v>
      </c>
      <c r="C23" s="6" t="n">
        <v>1</v>
      </c>
      <c r="D23" s="6" t="s">
        <v>42</v>
      </c>
      <c r="E23" s="6" t="s">
        <v>38</v>
      </c>
      <c r="F23" s="6"/>
      <c r="G23" s="6" t="s">
        <v>100</v>
      </c>
      <c r="H23" s="6" t="s">
        <v>38</v>
      </c>
      <c r="I23" s="6" t="s">
        <v>101</v>
      </c>
      <c r="J23" s="7" t="s">
        <v>102</v>
      </c>
    </row>
    <row r="24" customFormat="false" ht="15" hidden="false" customHeight="false" outlineLevel="0" collapsed="false">
      <c r="A24" s="6" t="s">
        <v>31</v>
      </c>
      <c r="B24" s="6" t="n">
        <v>3</v>
      </c>
      <c r="C24" s="6" t="n">
        <v>2</v>
      </c>
      <c r="D24" s="6" t="s">
        <v>32</v>
      </c>
      <c r="E24" s="6" t="s">
        <v>49</v>
      </c>
      <c r="F24" s="6"/>
      <c r="G24" s="6" t="s">
        <v>103</v>
      </c>
      <c r="H24" s="6" t="s">
        <v>49</v>
      </c>
      <c r="I24" s="6" t="s">
        <v>104</v>
      </c>
      <c r="J24" s="7" t="s">
        <v>105</v>
      </c>
    </row>
    <row r="25" customFormat="false" ht="15" hidden="false" customHeight="false" outlineLevel="0" collapsed="false">
      <c r="A25" s="6" t="s">
        <v>31</v>
      </c>
      <c r="B25" s="6" t="n">
        <v>5</v>
      </c>
      <c r="C25" s="6" t="n">
        <v>2</v>
      </c>
      <c r="D25" s="6" t="s">
        <v>32</v>
      </c>
      <c r="E25" s="6" t="s">
        <v>49</v>
      </c>
      <c r="F25" s="6"/>
      <c r="G25" s="6" t="s">
        <v>106</v>
      </c>
      <c r="H25" s="6" t="s">
        <v>49</v>
      </c>
      <c r="I25" s="6" t="s">
        <v>51</v>
      </c>
      <c r="J25" s="7" t="s">
        <v>107</v>
      </c>
    </row>
    <row r="26" customFormat="false" ht="15" hidden="false" customHeight="false" outlineLevel="0" collapsed="false">
      <c r="A26" s="6" t="s">
        <v>31</v>
      </c>
      <c r="B26" s="6" t="n">
        <v>6</v>
      </c>
      <c r="C26" s="6" t="n">
        <v>2</v>
      </c>
      <c r="D26" s="6" t="s">
        <v>42</v>
      </c>
      <c r="E26" s="6" t="s">
        <v>38</v>
      </c>
      <c r="F26" s="6"/>
      <c r="G26" s="6" t="s">
        <v>108</v>
      </c>
      <c r="H26" s="6" t="s">
        <v>38</v>
      </c>
      <c r="I26" s="6" t="s">
        <v>101</v>
      </c>
      <c r="J26" s="7" t="s">
        <v>109</v>
      </c>
    </row>
    <row r="27" customFormat="false" ht="15" hidden="false" customHeight="false" outlineLevel="0" collapsed="false">
      <c r="A27" s="6" t="s">
        <v>31</v>
      </c>
      <c r="B27" s="6" t="n">
        <v>7</v>
      </c>
      <c r="C27" s="6" t="n">
        <v>2</v>
      </c>
      <c r="D27" s="6" t="s">
        <v>42</v>
      </c>
      <c r="E27" s="6" t="s">
        <v>38</v>
      </c>
      <c r="F27" s="6"/>
      <c r="G27" s="6" t="s">
        <v>110</v>
      </c>
      <c r="H27" s="6" t="s">
        <v>38</v>
      </c>
      <c r="I27" s="6" t="s">
        <v>111</v>
      </c>
      <c r="J27" s="7" t="s">
        <v>112</v>
      </c>
    </row>
    <row r="28" customFormat="false" ht="15" hidden="false" customHeight="false" outlineLevel="0" collapsed="false">
      <c r="A28" s="6" t="s">
        <v>31</v>
      </c>
      <c r="B28" s="6" t="n">
        <v>8</v>
      </c>
      <c r="C28" s="6" t="n">
        <v>2</v>
      </c>
      <c r="D28" s="6" t="s">
        <v>32</v>
      </c>
      <c r="E28" s="6" t="s">
        <v>113</v>
      </c>
      <c r="F28" s="6"/>
      <c r="G28" s="6" t="s">
        <v>114</v>
      </c>
      <c r="H28" s="6" t="s">
        <v>115</v>
      </c>
      <c r="I28" s="6" t="s">
        <v>104</v>
      </c>
      <c r="J28" s="7" t="s">
        <v>116</v>
      </c>
    </row>
    <row r="29" customFormat="false" ht="15" hidden="false" customHeight="false" outlineLevel="0" collapsed="false">
      <c r="A29" s="6" t="s">
        <v>31</v>
      </c>
      <c r="B29" s="6" t="n">
        <v>14</v>
      </c>
      <c r="C29" s="6" t="n">
        <v>2</v>
      </c>
      <c r="D29" s="6" t="s">
        <v>42</v>
      </c>
      <c r="E29" s="6" t="s">
        <v>38</v>
      </c>
      <c r="F29" s="6"/>
      <c r="G29" s="6" t="s">
        <v>117</v>
      </c>
      <c r="H29" s="6" t="s">
        <v>38</v>
      </c>
      <c r="I29" s="6" t="s">
        <v>87</v>
      </c>
      <c r="J29" s="7" t="s">
        <v>118</v>
      </c>
    </row>
    <row r="30" customFormat="false" ht="15" hidden="false" customHeight="false" outlineLevel="0" collapsed="false">
      <c r="A30" s="6" t="s">
        <v>31</v>
      </c>
      <c r="B30" s="6" t="n">
        <v>15</v>
      </c>
      <c r="C30" s="6" t="n">
        <v>2</v>
      </c>
      <c r="D30" s="6" t="s">
        <v>42</v>
      </c>
      <c r="E30" s="6" t="s">
        <v>38</v>
      </c>
      <c r="F30" s="6"/>
      <c r="G30" s="6" t="s">
        <v>119</v>
      </c>
      <c r="H30" s="6" t="s">
        <v>38</v>
      </c>
      <c r="I30" s="6" t="s">
        <v>61</v>
      </c>
      <c r="J30" s="7" t="s">
        <v>120</v>
      </c>
    </row>
    <row r="31" customFormat="false" ht="15" hidden="false" customHeight="false" outlineLevel="0" collapsed="false">
      <c r="A31" s="6" t="s">
        <v>31</v>
      </c>
      <c r="B31" s="6" t="n">
        <v>16</v>
      </c>
      <c r="C31" s="6" t="n">
        <v>2</v>
      </c>
      <c r="D31" s="6" t="s">
        <v>42</v>
      </c>
      <c r="E31" s="6" t="s">
        <v>38</v>
      </c>
      <c r="F31" s="6"/>
      <c r="G31" s="6" t="s">
        <v>121</v>
      </c>
      <c r="H31" s="6" t="s">
        <v>38</v>
      </c>
      <c r="I31" s="6" t="s">
        <v>51</v>
      </c>
      <c r="J31" s="7" t="s">
        <v>122</v>
      </c>
    </row>
    <row r="32" customFormat="false" ht="15" hidden="false" customHeight="false" outlineLevel="0" collapsed="false">
      <c r="A32" s="6" t="s">
        <v>31</v>
      </c>
      <c r="B32" s="6" t="n">
        <v>17</v>
      </c>
      <c r="C32" s="6" t="n">
        <v>2</v>
      </c>
      <c r="D32" s="6" t="s">
        <v>42</v>
      </c>
      <c r="E32" s="6" t="s">
        <v>38</v>
      </c>
      <c r="F32" s="6"/>
      <c r="G32" s="6" t="s">
        <v>123</v>
      </c>
      <c r="H32" s="6" t="s">
        <v>38</v>
      </c>
      <c r="I32" s="6" t="s">
        <v>51</v>
      </c>
      <c r="J32" s="7" t="s">
        <v>124</v>
      </c>
    </row>
    <row r="33" customFormat="false" ht="15" hidden="false" customHeight="false" outlineLevel="0" collapsed="false">
      <c r="A33" s="6" t="s">
        <v>31</v>
      </c>
      <c r="B33" s="6" t="n">
        <v>18</v>
      </c>
      <c r="C33" s="6" t="n">
        <v>2</v>
      </c>
      <c r="D33" s="6" t="s">
        <v>42</v>
      </c>
      <c r="E33" s="6" t="s">
        <v>38</v>
      </c>
      <c r="F33" s="6"/>
      <c r="G33" s="6" t="s">
        <v>125</v>
      </c>
      <c r="H33" s="6" t="s">
        <v>38</v>
      </c>
      <c r="I33" s="6" t="s">
        <v>82</v>
      </c>
      <c r="J33" s="7" t="s">
        <v>126</v>
      </c>
    </row>
    <row r="34" customFormat="false" ht="15" hidden="false" customHeight="false" outlineLevel="0" collapsed="false">
      <c r="A34" s="6" t="s">
        <v>31</v>
      </c>
      <c r="B34" s="6" t="n">
        <v>19</v>
      </c>
      <c r="C34" s="6" t="n">
        <v>2</v>
      </c>
      <c r="D34" s="6" t="s">
        <v>42</v>
      </c>
      <c r="E34" s="6" t="s">
        <v>38</v>
      </c>
      <c r="F34" s="6"/>
      <c r="G34" s="6" t="s">
        <v>127</v>
      </c>
      <c r="H34" s="6" t="s">
        <v>38</v>
      </c>
      <c r="I34" s="6" t="s">
        <v>128</v>
      </c>
      <c r="J34" s="7" t="s">
        <v>129</v>
      </c>
    </row>
    <row r="35" customFormat="false" ht="15" hidden="false" customHeight="false" outlineLevel="0" collapsed="false">
      <c r="A35" s="6" t="s">
        <v>31</v>
      </c>
      <c r="B35" s="6" t="n">
        <v>20</v>
      </c>
      <c r="C35" s="6" t="n">
        <v>2</v>
      </c>
      <c r="D35" s="6" t="s">
        <v>42</v>
      </c>
      <c r="E35" s="6" t="s">
        <v>38</v>
      </c>
      <c r="F35" s="6"/>
      <c r="G35" s="6" t="s">
        <v>130</v>
      </c>
      <c r="H35" s="6" t="s">
        <v>38</v>
      </c>
      <c r="I35" s="6" t="s">
        <v>131</v>
      </c>
      <c r="J35" s="7" t="s">
        <v>132</v>
      </c>
    </row>
    <row r="36" customFormat="false" ht="15" hidden="false" customHeight="false" outlineLevel="0" collapsed="false">
      <c r="A36" s="6" t="s">
        <v>31</v>
      </c>
      <c r="B36" s="6" t="n">
        <v>21</v>
      </c>
      <c r="C36" s="6" t="n">
        <v>2</v>
      </c>
      <c r="D36" s="6" t="s">
        <v>42</v>
      </c>
      <c r="E36" s="6" t="s">
        <v>38</v>
      </c>
      <c r="F36" s="6"/>
      <c r="G36" s="6" t="s">
        <v>133</v>
      </c>
      <c r="H36" s="6" t="s">
        <v>38</v>
      </c>
      <c r="I36" s="6" t="s">
        <v>40</v>
      </c>
      <c r="J36" s="7" t="s">
        <v>134</v>
      </c>
    </row>
    <row r="37" customFormat="false" ht="15" hidden="false" customHeight="false" outlineLevel="0" collapsed="false">
      <c r="A37" s="6" t="s">
        <v>31</v>
      </c>
      <c r="B37" s="6" t="n">
        <v>22</v>
      </c>
      <c r="C37" s="6" t="n">
        <v>2</v>
      </c>
      <c r="D37" s="6" t="s">
        <v>42</v>
      </c>
      <c r="E37" s="6" t="s">
        <v>38</v>
      </c>
      <c r="F37" s="6"/>
      <c r="G37" s="6" t="s">
        <v>135</v>
      </c>
      <c r="H37" s="6" t="s">
        <v>38</v>
      </c>
      <c r="I37" s="6" t="s">
        <v>136</v>
      </c>
      <c r="J37" s="7" t="s">
        <v>137</v>
      </c>
    </row>
    <row r="38" customFormat="false" ht="15" hidden="false" customHeight="false" outlineLevel="0" collapsed="false">
      <c r="A38" s="6" t="s">
        <v>31</v>
      </c>
      <c r="B38" s="6" t="n">
        <v>23</v>
      </c>
      <c r="C38" s="6" t="n">
        <v>2</v>
      </c>
      <c r="D38" s="6" t="s">
        <v>42</v>
      </c>
      <c r="E38" s="6" t="s">
        <v>38</v>
      </c>
      <c r="F38" s="6"/>
      <c r="G38" s="6" t="s">
        <v>138</v>
      </c>
      <c r="H38" s="6" t="s">
        <v>38</v>
      </c>
      <c r="I38" s="6" t="s">
        <v>104</v>
      </c>
      <c r="J38" s="7" t="s">
        <v>139</v>
      </c>
    </row>
    <row r="39" customFormat="false" ht="15" hidden="false" customHeight="false" outlineLevel="0" collapsed="false">
      <c r="A39" s="6" t="s">
        <v>31</v>
      </c>
      <c r="B39" s="6" t="n">
        <v>24</v>
      </c>
      <c r="C39" s="6" t="n">
        <v>2</v>
      </c>
      <c r="D39" s="6" t="s">
        <v>42</v>
      </c>
      <c r="E39" s="6" t="s">
        <v>140</v>
      </c>
      <c r="F39" s="6"/>
      <c r="G39" s="6" t="s">
        <v>141</v>
      </c>
      <c r="H39" s="6" t="s">
        <v>142</v>
      </c>
      <c r="I39" s="6" t="s">
        <v>143</v>
      </c>
      <c r="J39" s="7" t="s">
        <v>144</v>
      </c>
    </row>
    <row r="40" customFormat="false" ht="15" hidden="false" customHeight="false" outlineLevel="0" collapsed="false">
      <c r="A40" s="6" t="s">
        <v>31</v>
      </c>
      <c r="B40" s="6" t="n">
        <v>25</v>
      </c>
      <c r="C40" s="6" t="n">
        <v>2</v>
      </c>
      <c r="D40" s="6" t="s">
        <v>42</v>
      </c>
      <c r="E40" s="6" t="s">
        <v>49</v>
      </c>
      <c r="F40" s="6"/>
      <c r="G40" s="6" t="s">
        <v>145</v>
      </c>
      <c r="H40" s="6" t="s">
        <v>49</v>
      </c>
      <c r="I40" s="6" t="s">
        <v>64</v>
      </c>
      <c r="J40" s="7" t="s">
        <v>146</v>
      </c>
    </row>
    <row r="41" customFormat="false" ht="15" hidden="false" customHeight="false" outlineLevel="0" collapsed="false">
      <c r="A41" s="6" t="s">
        <v>31</v>
      </c>
      <c r="B41" s="6" t="n">
        <v>26</v>
      </c>
      <c r="C41" s="6" t="n">
        <v>2</v>
      </c>
      <c r="D41" s="6" t="s">
        <v>42</v>
      </c>
      <c r="E41" s="6" t="s">
        <v>55</v>
      </c>
      <c r="F41" s="6"/>
      <c r="G41" s="6" t="s">
        <v>147</v>
      </c>
      <c r="H41" s="6" t="s">
        <v>57</v>
      </c>
      <c r="I41" s="6" t="s">
        <v>148</v>
      </c>
      <c r="J41" s="7" t="s">
        <v>149</v>
      </c>
    </row>
    <row r="42" customFormat="false" ht="15" hidden="false" customHeight="false" outlineLevel="0" collapsed="false">
      <c r="A42" s="6" t="s">
        <v>31</v>
      </c>
      <c r="B42" s="6" t="n">
        <v>27</v>
      </c>
      <c r="C42" s="6" t="n">
        <v>2</v>
      </c>
      <c r="D42" s="6" t="s">
        <v>42</v>
      </c>
      <c r="E42" s="6" t="s">
        <v>150</v>
      </c>
      <c r="F42" s="6"/>
      <c r="G42" s="6" t="s">
        <v>151</v>
      </c>
      <c r="H42" s="6" t="s">
        <v>152</v>
      </c>
      <c r="I42" s="6" t="s">
        <v>153</v>
      </c>
      <c r="J42" s="7" t="s">
        <v>154</v>
      </c>
    </row>
    <row r="43" customFormat="false" ht="15" hidden="false" customHeight="false" outlineLevel="0" collapsed="false">
      <c r="A43" s="6" t="s">
        <v>155</v>
      </c>
      <c r="B43" s="6" t="n">
        <v>3</v>
      </c>
      <c r="C43" s="6" t="n">
        <v>1</v>
      </c>
      <c r="D43" s="6" t="s">
        <v>32</v>
      </c>
      <c r="E43" s="6" t="s">
        <v>49</v>
      </c>
      <c r="F43" s="6"/>
      <c r="G43" s="6" t="s">
        <v>63</v>
      </c>
      <c r="H43" s="6" t="s">
        <v>49</v>
      </c>
      <c r="I43" s="6" t="s">
        <v>64</v>
      </c>
      <c r="J43" s="7" t="s">
        <v>65</v>
      </c>
    </row>
    <row r="44" customFormat="false" ht="15" hidden="false" customHeight="false" outlineLevel="0" collapsed="false">
      <c r="A44" s="6" t="s">
        <v>155</v>
      </c>
      <c r="B44" s="6" t="n">
        <v>4</v>
      </c>
      <c r="C44" s="6" t="n">
        <v>1</v>
      </c>
      <c r="D44" s="6" t="s">
        <v>32</v>
      </c>
      <c r="E44" s="6" t="s">
        <v>49</v>
      </c>
      <c r="F44" s="6"/>
      <c r="G44" s="6" t="s">
        <v>53</v>
      </c>
      <c r="H44" s="6" t="s">
        <v>49</v>
      </c>
      <c r="I44" s="6" t="s">
        <v>51</v>
      </c>
      <c r="J44" s="7" t="s">
        <v>54</v>
      </c>
    </row>
    <row r="45" customFormat="false" ht="15" hidden="false" customHeight="false" outlineLevel="0" collapsed="false">
      <c r="A45" s="6" t="s">
        <v>155</v>
      </c>
      <c r="B45" s="6" t="n">
        <v>5</v>
      </c>
      <c r="C45" s="6" t="n">
        <v>1</v>
      </c>
      <c r="D45" s="6" t="s">
        <v>42</v>
      </c>
      <c r="E45" s="6" t="s">
        <v>49</v>
      </c>
      <c r="F45" s="6"/>
      <c r="G45" s="6" t="s">
        <v>156</v>
      </c>
      <c r="H45" s="6" t="s">
        <v>49</v>
      </c>
      <c r="I45" s="6" t="s">
        <v>64</v>
      </c>
      <c r="J45" s="7" t="s">
        <v>157</v>
      </c>
    </row>
    <row r="46" customFormat="false" ht="15" hidden="false" customHeight="false" outlineLevel="0" collapsed="false">
      <c r="A46" s="6" t="s">
        <v>155</v>
      </c>
      <c r="B46" s="6" t="n">
        <v>6</v>
      </c>
      <c r="C46" s="6" t="n">
        <v>1</v>
      </c>
      <c r="D46" s="6" t="s">
        <v>42</v>
      </c>
      <c r="E46" s="6" t="s">
        <v>55</v>
      </c>
      <c r="F46" s="6"/>
      <c r="G46" s="6" t="s">
        <v>158</v>
      </c>
      <c r="H46" s="6" t="s">
        <v>57</v>
      </c>
      <c r="I46" s="6" t="s">
        <v>159</v>
      </c>
      <c r="J46" s="7" t="s">
        <v>160</v>
      </c>
    </row>
    <row r="47" customFormat="false" ht="15" hidden="false" customHeight="false" outlineLevel="0" collapsed="false">
      <c r="A47" s="6" t="s">
        <v>155</v>
      </c>
      <c r="B47" s="6" t="n">
        <v>7</v>
      </c>
      <c r="C47" s="6" t="n">
        <v>1</v>
      </c>
      <c r="D47" s="6" t="s">
        <v>32</v>
      </c>
      <c r="E47" s="6" t="s">
        <v>49</v>
      </c>
      <c r="F47" s="6"/>
      <c r="G47" s="6" t="s">
        <v>161</v>
      </c>
      <c r="H47" s="6" t="s">
        <v>49</v>
      </c>
      <c r="I47" s="6" t="s">
        <v>162</v>
      </c>
      <c r="J47" s="7" t="s">
        <v>163</v>
      </c>
    </row>
    <row r="48" customFormat="false" ht="15" hidden="false" customHeight="false" outlineLevel="0" collapsed="false">
      <c r="A48" s="6" t="s">
        <v>155</v>
      </c>
      <c r="B48" s="6" t="n">
        <v>8</v>
      </c>
      <c r="C48" s="6" t="n">
        <v>1</v>
      </c>
      <c r="D48" s="6" t="s">
        <v>32</v>
      </c>
      <c r="E48" s="6" t="s">
        <v>49</v>
      </c>
      <c r="F48" s="6"/>
      <c r="G48" s="6" t="s">
        <v>164</v>
      </c>
      <c r="H48" s="6" t="s">
        <v>49</v>
      </c>
      <c r="I48" s="6" t="s">
        <v>165</v>
      </c>
      <c r="J48" s="7" t="s">
        <v>166</v>
      </c>
    </row>
    <row r="49" customFormat="false" ht="15" hidden="false" customHeight="false" outlineLevel="0" collapsed="false">
      <c r="A49" s="6" t="s">
        <v>155</v>
      </c>
      <c r="B49" s="6" t="n">
        <v>15</v>
      </c>
      <c r="C49" s="6" t="n">
        <v>1</v>
      </c>
      <c r="D49" s="6" t="s">
        <v>42</v>
      </c>
      <c r="E49" s="6" t="s">
        <v>49</v>
      </c>
      <c r="F49" s="6"/>
      <c r="G49" s="6" t="s">
        <v>167</v>
      </c>
      <c r="H49" s="6" t="s">
        <v>49</v>
      </c>
      <c r="I49" s="6" t="s">
        <v>165</v>
      </c>
      <c r="J49" s="7" t="s">
        <v>168</v>
      </c>
    </row>
    <row r="50" customFormat="false" ht="15" hidden="false" customHeight="false" outlineLevel="0" collapsed="false">
      <c r="A50" s="6" t="s">
        <v>155</v>
      </c>
      <c r="B50" s="6" t="n">
        <v>16</v>
      </c>
      <c r="C50" s="6" t="n">
        <v>1</v>
      </c>
      <c r="D50" s="6" t="s">
        <v>42</v>
      </c>
      <c r="E50" s="6" t="s">
        <v>49</v>
      </c>
      <c r="F50" s="6"/>
      <c r="G50" s="6" t="s">
        <v>106</v>
      </c>
      <c r="H50" s="6" t="s">
        <v>49</v>
      </c>
      <c r="I50" s="6" t="s">
        <v>51</v>
      </c>
      <c r="J50" s="7" t="s">
        <v>169</v>
      </c>
    </row>
    <row r="51" customFormat="false" ht="15" hidden="false" customHeight="false" outlineLevel="0" collapsed="false">
      <c r="A51" s="6" t="s">
        <v>155</v>
      </c>
      <c r="B51" s="6" t="n">
        <v>17</v>
      </c>
      <c r="C51" s="6" t="n">
        <v>1</v>
      </c>
      <c r="D51" s="6" t="s">
        <v>32</v>
      </c>
      <c r="E51" s="6" t="s">
        <v>170</v>
      </c>
      <c r="F51" s="6"/>
      <c r="G51" s="6" t="s">
        <v>171</v>
      </c>
      <c r="H51" s="6" t="s">
        <v>172</v>
      </c>
      <c r="I51" s="6" t="s">
        <v>173</v>
      </c>
      <c r="J51" s="7" t="s">
        <v>174</v>
      </c>
    </row>
    <row r="52" customFormat="false" ht="15" hidden="false" customHeight="false" outlineLevel="0" collapsed="false">
      <c r="A52" s="6" t="s">
        <v>155</v>
      </c>
      <c r="B52" s="6" t="n">
        <v>18</v>
      </c>
      <c r="C52" s="6" t="n">
        <v>1</v>
      </c>
      <c r="D52" s="6" t="s">
        <v>32</v>
      </c>
      <c r="E52" s="6" t="s">
        <v>175</v>
      </c>
      <c r="F52" s="6"/>
      <c r="G52" s="6" t="s">
        <v>176</v>
      </c>
      <c r="H52" s="6" t="s">
        <v>177</v>
      </c>
      <c r="I52" s="6" t="s">
        <v>178</v>
      </c>
      <c r="J52" s="7" t="s">
        <v>179</v>
      </c>
    </row>
    <row r="53" customFormat="false" ht="15" hidden="false" customHeight="false" outlineLevel="0" collapsed="false">
      <c r="A53" s="6" t="s">
        <v>155</v>
      </c>
      <c r="B53" s="6" t="n">
        <v>19</v>
      </c>
      <c r="C53" s="6" t="n">
        <v>1</v>
      </c>
      <c r="D53" s="6" t="s">
        <v>42</v>
      </c>
      <c r="E53" s="6" t="s">
        <v>49</v>
      </c>
      <c r="F53" s="6"/>
      <c r="G53" s="6" t="s">
        <v>180</v>
      </c>
      <c r="H53" s="6" t="s">
        <v>49</v>
      </c>
      <c r="I53" s="6" t="s">
        <v>181</v>
      </c>
      <c r="J53" s="7" t="s">
        <v>182</v>
      </c>
    </row>
    <row r="54" customFormat="false" ht="15" hidden="false" customHeight="false" outlineLevel="0" collapsed="false">
      <c r="A54" s="6" t="s">
        <v>155</v>
      </c>
      <c r="B54" s="6" t="n">
        <v>20</v>
      </c>
      <c r="C54" s="6" t="n">
        <v>1</v>
      </c>
      <c r="D54" s="6" t="s">
        <v>42</v>
      </c>
      <c r="E54" s="6" t="s">
        <v>49</v>
      </c>
      <c r="F54" s="6"/>
      <c r="G54" s="6" t="s">
        <v>183</v>
      </c>
      <c r="H54" s="6" t="s">
        <v>49</v>
      </c>
      <c r="I54" s="6" t="s">
        <v>64</v>
      </c>
      <c r="J54" s="7" t="s">
        <v>184</v>
      </c>
    </row>
    <row r="55" customFormat="false" ht="15" hidden="false" customHeight="false" outlineLevel="0" collapsed="false">
      <c r="A55" s="6" t="s">
        <v>155</v>
      </c>
      <c r="B55" s="6" t="n">
        <v>21</v>
      </c>
      <c r="C55" s="6" t="n">
        <v>1</v>
      </c>
      <c r="D55" s="6" t="s">
        <v>42</v>
      </c>
      <c r="E55" s="6" t="s">
        <v>49</v>
      </c>
      <c r="F55" s="6"/>
      <c r="G55" s="6" t="s">
        <v>185</v>
      </c>
      <c r="H55" s="6" t="s">
        <v>49</v>
      </c>
      <c r="I55" s="6" t="s">
        <v>40</v>
      </c>
      <c r="J55" s="7" t="s">
        <v>186</v>
      </c>
    </row>
    <row r="56" customFormat="false" ht="15" hidden="false" customHeight="false" outlineLevel="0" collapsed="false">
      <c r="A56" s="6" t="s">
        <v>155</v>
      </c>
      <c r="B56" s="6" t="n">
        <v>22</v>
      </c>
      <c r="C56" s="6" t="n">
        <v>1</v>
      </c>
      <c r="D56" s="6" t="s">
        <v>42</v>
      </c>
      <c r="E56" s="6" t="s">
        <v>49</v>
      </c>
      <c r="F56" s="6"/>
      <c r="G56" s="6" t="s">
        <v>187</v>
      </c>
      <c r="H56" s="6" t="s">
        <v>49</v>
      </c>
      <c r="I56" s="6" t="s">
        <v>181</v>
      </c>
      <c r="J56" s="7" t="s">
        <v>188</v>
      </c>
    </row>
    <row r="57" customFormat="false" ht="15" hidden="false" customHeight="false" outlineLevel="0" collapsed="false">
      <c r="A57" s="6" t="s">
        <v>155</v>
      </c>
      <c r="B57" s="6" t="n">
        <v>23</v>
      </c>
      <c r="C57" s="6" t="n">
        <v>1</v>
      </c>
      <c r="D57" s="6" t="s">
        <v>42</v>
      </c>
      <c r="E57" s="6" t="s">
        <v>49</v>
      </c>
      <c r="F57" s="6"/>
      <c r="G57" s="6" t="s">
        <v>189</v>
      </c>
      <c r="H57" s="6" t="s">
        <v>49</v>
      </c>
      <c r="I57" s="6" t="s">
        <v>47</v>
      </c>
      <c r="J57" s="7" t="s">
        <v>190</v>
      </c>
    </row>
    <row r="58" customFormat="false" ht="15" hidden="false" customHeight="false" outlineLevel="0" collapsed="false">
      <c r="A58" s="6" t="s">
        <v>155</v>
      </c>
      <c r="B58" s="6" t="n">
        <v>24</v>
      </c>
      <c r="C58" s="6" t="n">
        <v>1</v>
      </c>
      <c r="D58" s="6" t="s">
        <v>42</v>
      </c>
      <c r="E58" s="6" t="s">
        <v>49</v>
      </c>
      <c r="F58" s="6"/>
      <c r="G58" s="6" t="s">
        <v>191</v>
      </c>
      <c r="H58" s="6" t="s">
        <v>49</v>
      </c>
      <c r="I58" s="6" t="s">
        <v>104</v>
      </c>
      <c r="J58" s="7" t="s">
        <v>192</v>
      </c>
    </row>
    <row r="59" customFormat="false" ht="15" hidden="false" customHeight="false" outlineLevel="0" collapsed="false">
      <c r="A59" s="6" t="s">
        <v>155</v>
      </c>
      <c r="B59" s="6" t="n">
        <v>25</v>
      </c>
      <c r="C59" s="6" t="n">
        <v>1</v>
      </c>
      <c r="D59" s="6" t="s">
        <v>42</v>
      </c>
      <c r="E59" s="6" t="s">
        <v>49</v>
      </c>
      <c r="F59" s="6"/>
      <c r="G59" s="6" t="s">
        <v>50</v>
      </c>
      <c r="H59" s="6" t="s">
        <v>49</v>
      </c>
      <c r="I59" s="6" t="s">
        <v>51</v>
      </c>
      <c r="J59" s="7" t="s">
        <v>193</v>
      </c>
    </row>
    <row r="60" customFormat="false" ht="15" hidden="false" customHeight="false" outlineLevel="0" collapsed="false">
      <c r="A60" s="6" t="s">
        <v>155</v>
      </c>
      <c r="B60" s="6" t="n">
        <v>26</v>
      </c>
      <c r="C60" s="6" t="n">
        <v>1</v>
      </c>
      <c r="D60" s="6" t="s">
        <v>42</v>
      </c>
      <c r="E60" s="6" t="s">
        <v>49</v>
      </c>
      <c r="F60" s="6"/>
      <c r="G60" s="6" t="s">
        <v>194</v>
      </c>
      <c r="H60" s="6" t="s">
        <v>49</v>
      </c>
      <c r="I60" s="6" t="s">
        <v>128</v>
      </c>
      <c r="J60" s="7" t="s">
        <v>195</v>
      </c>
    </row>
    <row r="61" customFormat="false" ht="15" hidden="false" customHeight="false" outlineLevel="0" collapsed="false">
      <c r="A61" s="6" t="s">
        <v>155</v>
      </c>
      <c r="B61" s="6" t="n">
        <v>27</v>
      </c>
      <c r="C61" s="6" t="n">
        <v>1</v>
      </c>
      <c r="D61" s="6" t="s">
        <v>42</v>
      </c>
      <c r="E61" s="6" t="s">
        <v>49</v>
      </c>
      <c r="F61" s="6"/>
      <c r="G61" s="6" t="s">
        <v>196</v>
      </c>
      <c r="H61" s="6" t="s">
        <v>49</v>
      </c>
      <c r="I61" s="6" t="s">
        <v>104</v>
      </c>
      <c r="J61" s="7" t="s">
        <v>197</v>
      </c>
    </row>
    <row r="62" customFormat="false" ht="15" hidden="false" customHeight="false" outlineLevel="0" collapsed="false">
      <c r="A62" s="6" t="s">
        <v>155</v>
      </c>
      <c r="B62" s="6" t="n">
        <v>28</v>
      </c>
      <c r="C62" s="6" t="n">
        <v>1</v>
      </c>
      <c r="D62" s="6" t="s">
        <v>42</v>
      </c>
      <c r="E62" s="6" t="s">
        <v>33</v>
      </c>
      <c r="F62" s="6"/>
      <c r="G62" s="6" t="s">
        <v>198</v>
      </c>
      <c r="H62" s="6" t="s">
        <v>35</v>
      </c>
      <c r="I62" s="6" t="s">
        <v>51</v>
      </c>
      <c r="J62" s="7" t="s">
        <v>199</v>
      </c>
    </row>
    <row r="63" customFormat="false" ht="15" hidden="false" customHeight="false" outlineLevel="0" collapsed="false">
      <c r="A63" s="6" t="s">
        <v>155</v>
      </c>
      <c r="B63" s="6" t="n">
        <v>29</v>
      </c>
      <c r="C63" s="6" t="n">
        <v>1</v>
      </c>
      <c r="D63" s="6" t="s">
        <v>42</v>
      </c>
      <c r="E63" s="6" t="s">
        <v>49</v>
      </c>
      <c r="F63" s="6"/>
      <c r="G63" s="6" t="s">
        <v>200</v>
      </c>
      <c r="H63" s="6" t="s">
        <v>49</v>
      </c>
      <c r="I63" s="6" t="s">
        <v>201</v>
      </c>
      <c r="J63" s="7" t="s">
        <v>202</v>
      </c>
    </row>
    <row r="64" customFormat="false" ht="15" hidden="false" customHeight="false" outlineLevel="0" collapsed="false">
      <c r="A64" s="6" t="s">
        <v>155</v>
      </c>
      <c r="B64" s="6" t="n">
        <v>30</v>
      </c>
      <c r="C64" s="6" t="n">
        <v>1</v>
      </c>
      <c r="D64" s="6" t="s">
        <v>42</v>
      </c>
      <c r="E64" s="6" t="s">
        <v>55</v>
      </c>
      <c r="F64" s="6"/>
      <c r="G64" s="6" t="s">
        <v>203</v>
      </c>
      <c r="H64" s="6" t="s">
        <v>57</v>
      </c>
      <c r="I64" s="6" t="s">
        <v>204</v>
      </c>
      <c r="J64" s="7" t="s">
        <v>205</v>
      </c>
    </row>
    <row r="65" customFormat="false" ht="15" hidden="false" customHeight="false" outlineLevel="0" collapsed="false">
      <c r="A65" s="6" t="s">
        <v>155</v>
      </c>
      <c r="B65" s="6" t="n">
        <v>5</v>
      </c>
      <c r="C65" s="6" t="n">
        <v>2</v>
      </c>
      <c r="D65" s="6" t="s">
        <v>32</v>
      </c>
      <c r="E65" s="6" t="s">
        <v>49</v>
      </c>
      <c r="F65" s="6"/>
      <c r="G65" s="6" t="s">
        <v>206</v>
      </c>
      <c r="H65" s="6" t="s">
        <v>49</v>
      </c>
      <c r="I65" s="6" t="s">
        <v>165</v>
      </c>
      <c r="J65" s="7" t="s">
        <v>207</v>
      </c>
    </row>
    <row r="66" customFormat="false" ht="15" hidden="false" customHeight="false" outlineLevel="0" collapsed="false">
      <c r="A66" s="6" t="s">
        <v>155</v>
      </c>
      <c r="B66" s="6" t="n">
        <v>6</v>
      </c>
      <c r="C66" s="6" t="n">
        <v>2</v>
      </c>
      <c r="D66" s="6" t="s">
        <v>42</v>
      </c>
      <c r="E66" s="6" t="s">
        <v>55</v>
      </c>
      <c r="F66" s="6"/>
      <c r="G66" s="6" t="s">
        <v>208</v>
      </c>
      <c r="H66" s="6" t="s">
        <v>57</v>
      </c>
      <c r="I66" s="6" t="s">
        <v>209</v>
      </c>
      <c r="J66" s="7" t="s">
        <v>210</v>
      </c>
    </row>
    <row r="67" customFormat="false" ht="15" hidden="false" customHeight="false" outlineLevel="0" collapsed="false">
      <c r="A67" s="6" t="s">
        <v>155</v>
      </c>
      <c r="B67" s="6" t="n">
        <v>7</v>
      </c>
      <c r="C67" s="6" t="n">
        <v>2</v>
      </c>
      <c r="D67" s="6" t="s">
        <v>42</v>
      </c>
      <c r="E67" s="6" t="s">
        <v>49</v>
      </c>
      <c r="F67" s="6"/>
      <c r="G67" s="6" t="s">
        <v>211</v>
      </c>
      <c r="H67" s="6" t="s">
        <v>49</v>
      </c>
      <c r="I67" s="6" t="s">
        <v>212</v>
      </c>
      <c r="J67" s="7" t="s">
        <v>213</v>
      </c>
    </row>
    <row r="68" customFormat="false" ht="15" hidden="false" customHeight="false" outlineLevel="0" collapsed="false">
      <c r="A68" s="6" t="s">
        <v>155</v>
      </c>
      <c r="B68" s="6" t="n">
        <v>8</v>
      </c>
      <c r="C68" s="6" t="n">
        <v>2</v>
      </c>
      <c r="D68" s="6" t="s">
        <v>32</v>
      </c>
      <c r="E68" s="6" t="s">
        <v>49</v>
      </c>
      <c r="F68" s="6"/>
      <c r="G68" s="6" t="s">
        <v>214</v>
      </c>
      <c r="H68" s="6" t="s">
        <v>215</v>
      </c>
      <c r="I68" s="6" t="s">
        <v>216</v>
      </c>
      <c r="J68" s="7" t="s">
        <v>217</v>
      </c>
    </row>
    <row r="69" customFormat="false" ht="15" hidden="false" customHeight="false" outlineLevel="0" collapsed="false">
      <c r="A69" s="6" t="s">
        <v>155</v>
      </c>
      <c r="B69" s="6" t="n">
        <v>9</v>
      </c>
      <c r="C69" s="6" t="n">
        <v>2</v>
      </c>
      <c r="D69" s="6" t="s">
        <v>32</v>
      </c>
      <c r="E69" s="6" t="s">
        <v>218</v>
      </c>
      <c r="F69" s="6"/>
      <c r="G69" s="6" t="s">
        <v>219</v>
      </c>
      <c r="H69" s="6" t="s">
        <v>220</v>
      </c>
      <c r="I69" s="6" t="s">
        <v>216</v>
      </c>
      <c r="J69" s="7" t="s">
        <v>221</v>
      </c>
    </row>
    <row r="70" customFormat="false" ht="15" hidden="false" customHeight="false" outlineLevel="0" collapsed="false">
      <c r="A70" s="6" t="s">
        <v>155</v>
      </c>
      <c r="B70" s="6" t="n">
        <v>15</v>
      </c>
      <c r="C70" s="6" t="n">
        <v>2</v>
      </c>
      <c r="D70" s="6" t="s">
        <v>42</v>
      </c>
      <c r="E70" s="6" t="s">
        <v>49</v>
      </c>
      <c r="F70" s="6"/>
      <c r="G70" s="6" t="s">
        <v>222</v>
      </c>
      <c r="H70" s="6" t="s">
        <v>49</v>
      </c>
      <c r="I70" s="6" t="s">
        <v>181</v>
      </c>
      <c r="J70" s="7" t="s">
        <v>223</v>
      </c>
    </row>
    <row r="71" customFormat="false" ht="15" hidden="false" customHeight="false" outlineLevel="0" collapsed="false">
      <c r="A71" s="6" t="s">
        <v>155</v>
      </c>
      <c r="B71" s="6" t="n">
        <v>16</v>
      </c>
      <c r="C71" s="6" t="n">
        <v>2</v>
      </c>
      <c r="D71" s="6" t="s">
        <v>42</v>
      </c>
      <c r="E71" s="6" t="s">
        <v>66</v>
      </c>
      <c r="F71" s="6"/>
      <c r="G71" s="6" t="s">
        <v>224</v>
      </c>
      <c r="H71" s="6" t="s">
        <v>68</v>
      </c>
      <c r="I71" s="6" t="s">
        <v>104</v>
      </c>
      <c r="J71" s="7" t="s">
        <v>225</v>
      </c>
    </row>
    <row r="72" customFormat="false" ht="15" hidden="false" customHeight="false" outlineLevel="0" collapsed="false">
      <c r="A72" s="6" t="s">
        <v>155</v>
      </c>
      <c r="B72" s="6" t="n">
        <v>17</v>
      </c>
      <c r="C72" s="6" t="n">
        <v>2</v>
      </c>
      <c r="D72" s="6" t="s">
        <v>32</v>
      </c>
      <c r="E72" s="6" t="s">
        <v>226</v>
      </c>
      <c r="F72" s="6"/>
      <c r="G72" s="6" t="s">
        <v>227</v>
      </c>
      <c r="H72" s="6" t="s">
        <v>228</v>
      </c>
      <c r="I72" s="6" t="s">
        <v>229</v>
      </c>
      <c r="J72" s="7" t="s">
        <v>230</v>
      </c>
    </row>
    <row r="73" customFormat="false" ht="15" hidden="false" customHeight="false" outlineLevel="0" collapsed="false">
      <c r="A73" s="6" t="s">
        <v>155</v>
      </c>
      <c r="B73" s="6" t="n">
        <v>18</v>
      </c>
      <c r="C73" s="6" t="n">
        <v>2</v>
      </c>
      <c r="D73" s="6" t="s">
        <v>32</v>
      </c>
      <c r="E73" s="6" t="s">
        <v>218</v>
      </c>
      <c r="F73" s="6"/>
      <c r="G73" s="6" t="s">
        <v>231</v>
      </c>
      <c r="H73" s="6" t="s">
        <v>232</v>
      </c>
      <c r="I73" s="6" t="s">
        <v>216</v>
      </c>
      <c r="J73" s="7" t="s">
        <v>233</v>
      </c>
    </row>
    <row r="74" customFormat="false" ht="15" hidden="false" customHeight="false" outlineLevel="0" collapsed="false">
      <c r="A74" s="6" t="s">
        <v>155</v>
      </c>
      <c r="B74" s="6" t="n">
        <v>19</v>
      </c>
      <c r="C74" s="6" t="n">
        <v>2</v>
      </c>
      <c r="D74" s="6" t="s">
        <v>42</v>
      </c>
      <c r="E74" s="6" t="s">
        <v>66</v>
      </c>
      <c r="F74" s="6"/>
      <c r="G74" s="6" t="s">
        <v>234</v>
      </c>
      <c r="H74" s="6" t="s">
        <v>68</v>
      </c>
      <c r="I74" s="6" t="s">
        <v>212</v>
      </c>
      <c r="J74" s="7" t="s">
        <v>235</v>
      </c>
    </row>
    <row r="75" customFormat="false" ht="15" hidden="false" customHeight="false" outlineLevel="0" collapsed="false">
      <c r="A75" s="6" t="s">
        <v>155</v>
      </c>
      <c r="B75" s="6" t="n">
        <v>20</v>
      </c>
      <c r="C75" s="6" t="n">
        <v>2</v>
      </c>
      <c r="D75" s="6" t="s">
        <v>42</v>
      </c>
      <c r="E75" s="6" t="s">
        <v>49</v>
      </c>
      <c r="F75" s="6"/>
      <c r="G75" s="6" t="s">
        <v>236</v>
      </c>
      <c r="H75" s="6" t="s">
        <v>49</v>
      </c>
      <c r="I75" s="6" t="s">
        <v>128</v>
      </c>
      <c r="J75" s="7" t="s">
        <v>237</v>
      </c>
    </row>
    <row r="76" customFormat="false" ht="15" hidden="false" customHeight="false" outlineLevel="0" collapsed="false">
      <c r="A76" s="6" t="s">
        <v>155</v>
      </c>
      <c r="B76" s="6" t="n">
        <v>21</v>
      </c>
      <c r="C76" s="6" t="n">
        <v>2</v>
      </c>
      <c r="D76" s="6" t="s">
        <v>32</v>
      </c>
      <c r="E76" s="6" t="s">
        <v>218</v>
      </c>
      <c r="F76" s="6"/>
      <c r="G76" s="6" t="s">
        <v>238</v>
      </c>
      <c r="H76" s="6" t="s">
        <v>239</v>
      </c>
      <c r="I76" s="6" t="s">
        <v>216</v>
      </c>
      <c r="J76" s="7" t="s">
        <v>240</v>
      </c>
    </row>
    <row r="77" customFormat="false" ht="15" hidden="false" customHeight="false" outlineLevel="0" collapsed="false">
      <c r="A77" s="6" t="s">
        <v>155</v>
      </c>
      <c r="B77" s="6" t="n">
        <v>22</v>
      </c>
      <c r="C77" s="6" t="n">
        <v>2</v>
      </c>
      <c r="D77" s="6" t="s">
        <v>32</v>
      </c>
      <c r="E77" s="6" t="s">
        <v>241</v>
      </c>
      <c r="F77" s="6"/>
      <c r="G77" s="6" t="s">
        <v>242</v>
      </c>
      <c r="H77" s="6" t="s">
        <v>243</v>
      </c>
      <c r="I77" s="6" t="s">
        <v>244</v>
      </c>
      <c r="J77" s="7" t="s">
        <v>245</v>
      </c>
    </row>
    <row r="78" customFormat="false" ht="15" hidden="false" customHeight="false" outlineLevel="0" collapsed="false">
      <c r="A78" s="6" t="s">
        <v>155</v>
      </c>
      <c r="B78" s="6" t="n">
        <v>23</v>
      </c>
      <c r="C78" s="6" t="n">
        <v>2</v>
      </c>
      <c r="D78" s="6" t="s">
        <v>42</v>
      </c>
      <c r="E78" s="6" t="s">
        <v>66</v>
      </c>
      <c r="F78" s="6"/>
      <c r="G78" s="6" t="s">
        <v>246</v>
      </c>
      <c r="H78" s="6" t="s">
        <v>68</v>
      </c>
      <c r="I78" s="6" t="s">
        <v>51</v>
      </c>
      <c r="J78" s="7" t="s">
        <v>247</v>
      </c>
    </row>
    <row r="79" customFormat="false" ht="15" hidden="false" customHeight="false" outlineLevel="0" collapsed="false">
      <c r="A79" s="6" t="s">
        <v>155</v>
      </c>
      <c r="B79" s="6" t="n">
        <v>24</v>
      </c>
      <c r="C79" s="6" t="n">
        <v>2</v>
      </c>
      <c r="D79" s="6" t="s">
        <v>42</v>
      </c>
      <c r="E79" s="6" t="s">
        <v>38</v>
      </c>
      <c r="F79" s="6"/>
      <c r="G79" s="6" t="s">
        <v>248</v>
      </c>
      <c r="H79" s="6" t="s">
        <v>38</v>
      </c>
      <c r="I79" s="6" t="s">
        <v>44</v>
      </c>
      <c r="J79" s="7" t="s">
        <v>249</v>
      </c>
    </row>
    <row r="80" customFormat="false" ht="15" hidden="false" customHeight="false" outlineLevel="0" collapsed="false">
      <c r="A80" s="6" t="s">
        <v>155</v>
      </c>
      <c r="B80" s="6" t="n">
        <v>25</v>
      </c>
      <c r="C80" s="6" t="n">
        <v>2</v>
      </c>
      <c r="D80" s="6" t="s">
        <v>42</v>
      </c>
      <c r="E80" s="6" t="s">
        <v>49</v>
      </c>
      <c r="F80" s="6"/>
      <c r="G80" s="6" t="s">
        <v>250</v>
      </c>
      <c r="H80" s="6" t="s">
        <v>49</v>
      </c>
      <c r="I80" s="6" t="s">
        <v>201</v>
      </c>
      <c r="J80" s="7" t="s">
        <v>251</v>
      </c>
    </row>
    <row r="81" customFormat="false" ht="15" hidden="false" customHeight="false" outlineLevel="0" collapsed="false">
      <c r="A81" s="6" t="s">
        <v>155</v>
      </c>
      <c r="B81" s="6" t="n">
        <v>26</v>
      </c>
      <c r="C81" s="6" t="n">
        <v>2</v>
      </c>
      <c r="D81" s="6" t="s">
        <v>42</v>
      </c>
      <c r="E81" s="6" t="s">
        <v>49</v>
      </c>
      <c r="F81" s="6"/>
      <c r="G81" s="6" t="s">
        <v>252</v>
      </c>
      <c r="H81" s="6" t="s">
        <v>49</v>
      </c>
      <c r="I81" s="6" t="s">
        <v>212</v>
      </c>
      <c r="J81" s="7" t="s">
        <v>253</v>
      </c>
    </row>
    <row r="82" customFormat="false" ht="15" hidden="false" customHeight="false" outlineLevel="0" collapsed="false">
      <c r="A82" s="6" t="s">
        <v>155</v>
      </c>
      <c r="B82" s="6" t="n">
        <v>27</v>
      </c>
      <c r="C82" s="6" t="n">
        <v>2</v>
      </c>
      <c r="D82" s="6" t="s">
        <v>42</v>
      </c>
      <c r="E82" s="6" t="s">
        <v>254</v>
      </c>
      <c r="F82" s="6"/>
      <c r="G82" s="6" t="s">
        <v>255</v>
      </c>
      <c r="H82" s="6" t="s">
        <v>256</v>
      </c>
      <c r="I82" s="6" t="s">
        <v>257</v>
      </c>
      <c r="J82" s="7" t="s">
        <v>258</v>
      </c>
    </row>
    <row r="83" customFormat="false" ht="15" hidden="false" customHeight="false" outlineLevel="0" collapsed="false">
      <c r="A83" s="6" t="s">
        <v>155</v>
      </c>
      <c r="B83" s="6" t="n">
        <v>28</v>
      </c>
      <c r="C83" s="6" t="n">
        <v>2</v>
      </c>
      <c r="D83" s="6" t="s">
        <v>42</v>
      </c>
      <c r="E83" s="6" t="s">
        <v>49</v>
      </c>
      <c r="F83" s="6"/>
      <c r="G83" s="6" t="s">
        <v>259</v>
      </c>
      <c r="H83" s="6" t="s">
        <v>49</v>
      </c>
      <c r="I83" s="6" t="s">
        <v>101</v>
      </c>
      <c r="J83" s="7" t="s">
        <v>260</v>
      </c>
    </row>
    <row r="84" customFormat="false" ht="15" hidden="false" customHeight="false" outlineLevel="0" collapsed="false">
      <c r="A84" s="6" t="s">
        <v>155</v>
      </c>
      <c r="B84" s="6" t="n">
        <v>29</v>
      </c>
      <c r="C84" s="6" t="n">
        <v>2</v>
      </c>
      <c r="D84" s="6" t="s">
        <v>42</v>
      </c>
      <c r="E84" s="6" t="s">
        <v>66</v>
      </c>
      <c r="F84" s="6"/>
      <c r="G84" s="6" t="s">
        <v>261</v>
      </c>
      <c r="H84" s="6" t="s">
        <v>68</v>
      </c>
      <c r="I84" s="6" t="s">
        <v>40</v>
      </c>
      <c r="J84" s="7" t="s">
        <v>262</v>
      </c>
    </row>
    <row r="85" customFormat="false" ht="15" hidden="false" customHeight="false" outlineLevel="0" collapsed="false">
      <c r="A85" s="6" t="s">
        <v>155</v>
      </c>
      <c r="B85" s="6" t="n">
        <v>30</v>
      </c>
      <c r="C85" s="6" t="n">
        <v>2</v>
      </c>
      <c r="D85" s="6" t="s">
        <v>42</v>
      </c>
      <c r="E85" s="6" t="s">
        <v>49</v>
      </c>
      <c r="F85" s="6"/>
      <c r="G85" s="6" t="s">
        <v>263</v>
      </c>
      <c r="H85" s="6" t="s">
        <v>49</v>
      </c>
      <c r="I85" s="6" t="s">
        <v>51</v>
      </c>
      <c r="J85" s="7" t="s">
        <v>264</v>
      </c>
    </row>
    <row r="86" customFormat="false" ht="15" hidden="false" customHeight="false" outlineLevel="0" collapsed="false">
      <c r="A86" s="6" t="s">
        <v>155</v>
      </c>
      <c r="B86" s="6" t="n">
        <v>31</v>
      </c>
      <c r="C86" s="6" t="n">
        <v>2</v>
      </c>
      <c r="D86" s="6" t="s">
        <v>42</v>
      </c>
      <c r="E86" s="6" t="s">
        <v>49</v>
      </c>
      <c r="F86" s="6"/>
      <c r="G86" s="6" t="s">
        <v>265</v>
      </c>
      <c r="H86" s="6" t="s">
        <v>49</v>
      </c>
      <c r="I86" s="6" t="s">
        <v>104</v>
      </c>
      <c r="J86" s="7" t="s">
        <v>266</v>
      </c>
    </row>
    <row r="87" customFormat="false" ht="15" hidden="false" customHeight="false" outlineLevel="0" collapsed="false">
      <c r="A87" s="6" t="s">
        <v>155</v>
      </c>
      <c r="B87" s="6" t="n">
        <v>32</v>
      </c>
      <c r="C87" s="6" t="n">
        <v>2</v>
      </c>
      <c r="D87" s="6" t="s">
        <v>42</v>
      </c>
      <c r="E87" s="6" t="s">
        <v>38</v>
      </c>
      <c r="F87" s="6"/>
      <c r="G87" s="6" t="s">
        <v>267</v>
      </c>
      <c r="H87" s="6" t="s">
        <v>38</v>
      </c>
      <c r="I87" s="6" t="s">
        <v>128</v>
      </c>
      <c r="J87" s="7" t="s">
        <v>268</v>
      </c>
    </row>
    <row r="88" customFormat="false" ht="15" hidden="false" customHeight="false" outlineLevel="0" collapsed="false">
      <c r="A88" s="6" t="s">
        <v>269</v>
      </c>
      <c r="B88" s="6" t="n">
        <v>2</v>
      </c>
      <c r="C88" s="6" t="n">
        <v>1</v>
      </c>
      <c r="D88" s="6" t="s">
        <v>32</v>
      </c>
      <c r="E88" s="6" t="s">
        <v>38</v>
      </c>
      <c r="F88" s="6"/>
      <c r="G88" s="6" t="s">
        <v>270</v>
      </c>
      <c r="H88" s="6" t="s">
        <v>38</v>
      </c>
      <c r="I88" s="6" t="s">
        <v>271</v>
      </c>
      <c r="J88" s="7" t="s">
        <v>272</v>
      </c>
    </row>
    <row r="89" customFormat="false" ht="15" hidden="false" customHeight="false" outlineLevel="0" collapsed="false">
      <c r="A89" s="6" t="s">
        <v>269</v>
      </c>
      <c r="B89" s="6" t="n">
        <v>3</v>
      </c>
      <c r="C89" s="6" t="n">
        <v>1</v>
      </c>
      <c r="D89" s="6" t="s">
        <v>32</v>
      </c>
      <c r="E89" s="6" t="s">
        <v>273</v>
      </c>
      <c r="F89" s="6"/>
      <c r="G89" s="6" t="s">
        <v>274</v>
      </c>
      <c r="H89" s="6" t="s">
        <v>275</v>
      </c>
      <c r="I89" s="6" t="s">
        <v>40</v>
      </c>
      <c r="J89" s="7" t="s">
        <v>276</v>
      </c>
    </row>
    <row r="90" customFormat="false" ht="15" hidden="false" customHeight="false" outlineLevel="0" collapsed="false">
      <c r="A90" s="6" t="s">
        <v>269</v>
      </c>
      <c r="B90" s="6" t="n">
        <v>5</v>
      </c>
      <c r="C90" s="6" t="n">
        <v>1</v>
      </c>
      <c r="D90" s="6" t="s">
        <v>42</v>
      </c>
      <c r="E90" s="6" t="s">
        <v>38</v>
      </c>
      <c r="F90" s="6"/>
      <c r="G90" s="6" t="s">
        <v>277</v>
      </c>
      <c r="H90" s="6" t="s">
        <v>38</v>
      </c>
      <c r="I90" s="6" t="s">
        <v>278</v>
      </c>
      <c r="J90" s="7" t="s">
        <v>279</v>
      </c>
    </row>
    <row r="91" customFormat="false" ht="15" hidden="false" customHeight="false" outlineLevel="0" collapsed="false">
      <c r="A91" s="6" t="s">
        <v>269</v>
      </c>
      <c r="B91" s="6" t="n">
        <v>6</v>
      </c>
      <c r="C91" s="6" t="n">
        <v>1</v>
      </c>
      <c r="D91" s="6" t="s">
        <v>32</v>
      </c>
      <c r="E91" s="6" t="s">
        <v>49</v>
      </c>
      <c r="F91" s="6"/>
      <c r="G91" s="6" t="s">
        <v>280</v>
      </c>
      <c r="H91" s="6" t="s">
        <v>49</v>
      </c>
      <c r="I91" s="6" t="s">
        <v>47</v>
      </c>
      <c r="J91" s="7" t="s">
        <v>281</v>
      </c>
    </row>
    <row r="92" customFormat="false" ht="15" hidden="false" customHeight="false" outlineLevel="0" collapsed="false">
      <c r="A92" s="6" t="s">
        <v>269</v>
      </c>
      <c r="B92" s="6" t="n">
        <v>7</v>
      </c>
      <c r="C92" s="6" t="n">
        <v>1</v>
      </c>
      <c r="D92" s="6" t="s">
        <v>32</v>
      </c>
      <c r="E92" s="6" t="s">
        <v>49</v>
      </c>
      <c r="F92" s="6"/>
      <c r="G92" s="6" t="s">
        <v>282</v>
      </c>
      <c r="H92" s="6" t="s">
        <v>283</v>
      </c>
      <c r="I92" s="6" t="s">
        <v>82</v>
      </c>
      <c r="J92" s="7" t="s">
        <v>284</v>
      </c>
    </row>
    <row r="93" customFormat="false" ht="15" hidden="false" customHeight="false" outlineLevel="0" collapsed="false">
      <c r="A93" s="6" t="s">
        <v>269</v>
      </c>
      <c r="B93" s="6" t="n">
        <v>11</v>
      </c>
      <c r="C93" s="6" t="n">
        <v>1</v>
      </c>
      <c r="D93" s="6" t="s">
        <v>42</v>
      </c>
      <c r="E93" s="6" t="s">
        <v>38</v>
      </c>
      <c r="F93" s="6"/>
      <c r="G93" s="6" t="s">
        <v>285</v>
      </c>
      <c r="H93" s="6" t="s">
        <v>38</v>
      </c>
      <c r="I93" s="6" t="s">
        <v>286</v>
      </c>
      <c r="J93" s="7" t="s">
        <v>287</v>
      </c>
    </row>
    <row r="94" customFormat="false" ht="15" hidden="false" customHeight="false" outlineLevel="0" collapsed="false">
      <c r="A94" s="6" t="s">
        <v>269</v>
      </c>
      <c r="B94" s="6" t="n">
        <v>12</v>
      </c>
      <c r="C94" s="6" t="n">
        <v>1</v>
      </c>
      <c r="D94" s="6" t="s">
        <v>42</v>
      </c>
      <c r="E94" s="6" t="s">
        <v>38</v>
      </c>
      <c r="F94" s="6"/>
      <c r="G94" s="6" t="s">
        <v>288</v>
      </c>
      <c r="H94" s="6" t="s">
        <v>38</v>
      </c>
      <c r="I94" s="6" t="s">
        <v>289</v>
      </c>
      <c r="J94" s="7" t="s">
        <v>290</v>
      </c>
    </row>
    <row r="95" customFormat="false" ht="15" hidden="false" customHeight="false" outlineLevel="0" collapsed="false">
      <c r="A95" s="6" t="s">
        <v>269</v>
      </c>
      <c r="B95" s="6" t="n">
        <v>13</v>
      </c>
      <c r="C95" s="6" t="n">
        <v>1</v>
      </c>
      <c r="D95" s="6" t="s">
        <v>32</v>
      </c>
      <c r="E95" s="6" t="s">
        <v>49</v>
      </c>
      <c r="F95" s="6"/>
      <c r="G95" s="6" t="s">
        <v>291</v>
      </c>
      <c r="H95" s="6" t="s">
        <v>49</v>
      </c>
      <c r="I95" s="6" t="s">
        <v>47</v>
      </c>
      <c r="J95" s="7" t="s">
        <v>292</v>
      </c>
    </row>
    <row r="96" customFormat="false" ht="15" hidden="false" customHeight="false" outlineLevel="0" collapsed="false">
      <c r="A96" s="6" t="s">
        <v>269</v>
      </c>
      <c r="B96" s="6" t="n">
        <v>14</v>
      </c>
      <c r="C96" s="6" t="n">
        <v>1</v>
      </c>
      <c r="D96" s="6" t="s">
        <v>32</v>
      </c>
      <c r="E96" s="6" t="s">
        <v>49</v>
      </c>
      <c r="F96" s="6"/>
      <c r="G96" s="6" t="s">
        <v>293</v>
      </c>
      <c r="H96" s="6" t="s">
        <v>49</v>
      </c>
      <c r="I96" s="6" t="s">
        <v>294</v>
      </c>
      <c r="J96" s="7" t="s">
        <v>295</v>
      </c>
    </row>
    <row r="97" customFormat="false" ht="15" hidden="false" customHeight="false" outlineLevel="0" collapsed="false">
      <c r="A97" s="6" t="s">
        <v>269</v>
      </c>
      <c r="B97" s="6" t="n">
        <v>15</v>
      </c>
      <c r="C97" s="6" t="n">
        <v>1</v>
      </c>
      <c r="D97" s="6" t="s">
        <v>42</v>
      </c>
      <c r="E97" s="6" t="s">
        <v>49</v>
      </c>
      <c r="F97" s="6"/>
      <c r="G97" s="6" t="s">
        <v>296</v>
      </c>
      <c r="H97" s="6" t="s">
        <v>49</v>
      </c>
      <c r="I97" s="6" t="s">
        <v>297</v>
      </c>
      <c r="J97" s="7" t="s">
        <v>298</v>
      </c>
    </row>
    <row r="98" customFormat="false" ht="15" hidden="false" customHeight="false" outlineLevel="0" collapsed="false">
      <c r="A98" s="6" t="s">
        <v>269</v>
      </c>
      <c r="B98" s="6" t="n">
        <v>16</v>
      </c>
      <c r="C98" s="6" t="n">
        <v>1</v>
      </c>
      <c r="D98" s="6" t="s">
        <v>42</v>
      </c>
      <c r="E98" s="6" t="s">
        <v>38</v>
      </c>
      <c r="F98" s="6"/>
      <c r="G98" s="6" t="s">
        <v>299</v>
      </c>
      <c r="H98" s="6" t="s">
        <v>38</v>
      </c>
      <c r="I98" s="6" t="s">
        <v>178</v>
      </c>
      <c r="J98" s="7" t="s">
        <v>300</v>
      </c>
    </row>
    <row r="99" customFormat="false" ht="15" hidden="false" customHeight="false" outlineLevel="0" collapsed="false">
      <c r="A99" s="6" t="s">
        <v>269</v>
      </c>
      <c r="B99" s="6" t="n">
        <v>18</v>
      </c>
      <c r="C99" s="6" t="n">
        <v>1</v>
      </c>
      <c r="D99" s="6" t="s">
        <v>42</v>
      </c>
      <c r="E99" s="6" t="s">
        <v>38</v>
      </c>
      <c r="F99" s="6"/>
      <c r="G99" s="6" t="s">
        <v>301</v>
      </c>
      <c r="H99" s="6" t="s">
        <v>38</v>
      </c>
      <c r="I99" s="6" t="s">
        <v>64</v>
      </c>
      <c r="J99" s="7" t="s">
        <v>302</v>
      </c>
    </row>
    <row r="100" customFormat="false" ht="15" hidden="false" customHeight="false" outlineLevel="0" collapsed="false">
      <c r="A100" s="6" t="s">
        <v>269</v>
      </c>
      <c r="B100" s="6" t="n">
        <v>22</v>
      </c>
      <c r="C100" s="6" t="n">
        <v>1</v>
      </c>
      <c r="D100" s="6" t="s">
        <v>42</v>
      </c>
      <c r="E100" s="6" t="s">
        <v>49</v>
      </c>
      <c r="F100" s="6"/>
      <c r="G100" s="6" t="s">
        <v>303</v>
      </c>
      <c r="H100" s="6" t="s">
        <v>49</v>
      </c>
      <c r="I100" s="6" t="s">
        <v>297</v>
      </c>
      <c r="J100" s="7" t="s">
        <v>304</v>
      </c>
    </row>
    <row r="101" customFormat="false" ht="15" hidden="false" customHeight="false" outlineLevel="0" collapsed="false">
      <c r="A101" s="6" t="s">
        <v>269</v>
      </c>
      <c r="B101" s="6" t="n">
        <v>23</v>
      </c>
      <c r="C101" s="6" t="n">
        <v>1</v>
      </c>
      <c r="D101" s="6" t="s">
        <v>42</v>
      </c>
      <c r="E101" s="6" t="s">
        <v>305</v>
      </c>
      <c r="F101" s="6"/>
      <c r="G101" s="6" t="s">
        <v>306</v>
      </c>
      <c r="H101" s="6" t="s">
        <v>307</v>
      </c>
      <c r="I101" s="6" t="s">
        <v>308</v>
      </c>
      <c r="J101" s="7" t="s">
        <v>309</v>
      </c>
    </row>
    <row r="102" customFormat="false" ht="15" hidden="false" customHeight="false" outlineLevel="0" collapsed="false">
      <c r="A102" s="6" t="s">
        <v>269</v>
      </c>
      <c r="B102" s="6" t="n">
        <v>24</v>
      </c>
      <c r="C102" s="6" t="n">
        <v>1</v>
      </c>
      <c r="D102" s="6" t="s">
        <v>42</v>
      </c>
      <c r="E102" s="6" t="s">
        <v>273</v>
      </c>
      <c r="F102" s="6"/>
      <c r="G102" s="6" t="s">
        <v>310</v>
      </c>
      <c r="H102" s="6" t="s">
        <v>275</v>
      </c>
      <c r="I102" s="6" t="s">
        <v>87</v>
      </c>
      <c r="J102" s="7" t="s">
        <v>311</v>
      </c>
    </row>
    <row r="103" customFormat="false" ht="15" hidden="false" customHeight="false" outlineLevel="0" collapsed="false">
      <c r="A103" s="6" t="s">
        <v>269</v>
      </c>
      <c r="B103" s="6" t="n">
        <v>25</v>
      </c>
      <c r="C103" s="6" t="n">
        <v>1</v>
      </c>
      <c r="D103" s="6" t="s">
        <v>42</v>
      </c>
      <c r="E103" s="6" t="s">
        <v>312</v>
      </c>
      <c r="F103" s="6"/>
      <c r="G103" s="6" t="s">
        <v>313</v>
      </c>
      <c r="H103" s="6" t="s">
        <v>314</v>
      </c>
      <c r="I103" s="6" t="s">
        <v>278</v>
      </c>
      <c r="J103" s="7" t="s">
        <v>315</v>
      </c>
    </row>
    <row r="104" customFormat="false" ht="15" hidden="false" customHeight="false" outlineLevel="0" collapsed="false">
      <c r="A104" s="6" t="s">
        <v>269</v>
      </c>
      <c r="B104" s="6" t="n">
        <v>26</v>
      </c>
      <c r="C104" s="6" t="n">
        <v>1</v>
      </c>
      <c r="D104" s="6" t="s">
        <v>42</v>
      </c>
      <c r="E104" s="6" t="s">
        <v>49</v>
      </c>
      <c r="F104" s="6"/>
      <c r="G104" s="6" t="s">
        <v>316</v>
      </c>
      <c r="H104" s="6" t="s">
        <v>49</v>
      </c>
      <c r="I104" s="6" t="s">
        <v>178</v>
      </c>
      <c r="J104" s="7" t="s">
        <v>317</v>
      </c>
    </row>
    <row r="105" customFormat="false" ht="15" hidden="false" customHeight="false" outlineLevel="0" collapsed="false">
      <c r="A105" s="6" t="s">
        <v>269</v>
      </c>
      <c r="B105" s="6" t="n">
        <v>27</v>
      </c>
      <c r="C105" s="6" t="n">
        <v>1</v>
      </c>
      <c r="D105" s="6" t="s">
        <v>42</v>
      </c>
      <c r="E105" s="6" t="s">
        <v>49</v>
      </c>
      <c r="F105" s="6"/>
      <c r="G105" s="6" t="s">
        <v>318</v>
      </c>
      <c r="H105" s="6" t="s">
        <v>49</v>
      </c>
      <c r="I105" s="6" t="s">
        <v>319</v>
      </c>
      <c r="J105" s="7" t="s">
        <v>320</v>
      </c>
    </row>
    <row r="106" customFormat="false" ht="15" hidden="false" customHeight="false" outlineLevel="0" collapsed="false">
      <c r="A106" s="6" t="s">
        <v>269</v>
      </c>
      <c r="B106" s="6" t="n">
        <v>28</v>
      </c>
      <c r="C106" s="6" t="n">
        <v>1</v>
      </c>
      <c r="D106" s="6" t="s">
        <v>42</v>
      </c>
      <c r="E106" s="6" t="s">
        <v>49</v>
      </c>
      <c r="F106" s="6"/>
      <c r="G106" s="6" t="s">
        <v>321</v>
      </c>
      <c r="H106" s="6" t="s">
        <v>49</v>
      </c>
      <c r="I106" s="6" t="s">
        <v>61</v>
      </c>
      <c r="J106" s="7" t="s">
        <v>322</v>
      </c>
    </row>
    <row r="107" customFormat="false" ht="15" hidden="false" customHeight="false" outlineLevel="0" collapsed="false">
      <c r="A107" s="6" t="s">
        <v>269</v>
      </c>
      <c r="B107" s="6" t="n">
        <v>5</v>
      </c>
      <c r="C107" s="6" t="n">
        <v>2</v>
      </c>
      <c r="D107" s="6" t="s">
        <v>32</v>
      </c>
      <c r="E107" s="6" t="s">
        <v>49</v>
      </c>
      <c r="F107" s="6"/>
      <c r="G107" s="6" t="s">
        <v>323</v>
      </c>
      <c r="H107" s="6" t="s">
        <v>324</v>
      </c>
      <c r="I107" s="6" t="s">
        <v>82</v>
      </c>
      <c r="J107" s="7" t="s">
        <v>325</v>
      </c>
    </row>
    <row r="108" customFormat="false" ht="15" hidden="false" customHeight="false" outlineLevel="0" collapsed="false">
      <c r="A108" s="6" t="s">
        <v>269</v>
      </c>
      <c r="B108" s="6" t="n">
        <v>6</v>
      </c>
      <c r="C108" s="6" t="n">
        <v>2</v>
      </c>
      <c r="D108" s="6" t="s">
        <v>42</v>
      </c>
      <c r="E108" s="6" t="s">
        <v>66</v>
      </c>
      <c r="F108" s="6"/>
      <c r="G108" s="6" t="s">
        <v>326</v>
      </c>
      <c r="H108" s="6" t="s">
        <v>68</v>
      </c>
      <c r="I108" s="6" t="s">
        <v>204</v>
      </c>
      <c r="J108" s="7" t="s">
        <v>327</v>
      </c>
    </row>
    <row r="109" customFormat="false" ht="15" hidden="false" customHeight="false" outlineLevel="0" collapsed="false">
      <c r="A109" s="6" t="s">
        <v>269</v>
      </c>
      <c r="B109" s="6" t="n">
        <v>7</v>
      </c>
      <c r="C109" s="6" t="n">
        <v>2</v>
      </c>
      <c r="D109" s="6" t="s">
        <v>42</v>
      </c>
      <c r="E109" s="6" t="s">
        <v>140</v>
      </c>
      <c r="F109" s="6"/>
      <c r="G109" s="6" t="s">
        <v>328</v>
      </c>
      <c r="H109" s="6" t="s">
        <v>142</v>
      </c>
      <c r="I109" s="6"/>
      <c r="J109" s="7" t="s">
        <v>329</v>
      </c>
    </row>
    <row r="110" customFormat="false" ht="15" hidden="false" customHeight="false" outlineLevel="0" collapsed="false">
      <c r="A110" s="6" t="s">
        <v>269</v>
      </c>
      <c r="B110" s="6" t="n">
        <v>8</v>
      </c>
      <c r="C110" s="6" t="n">
        <v>2</v>
      </c>
      <c r="D110" s="6" t="s">
        <v>42</v>
      </c>
      <c r="E110" s="6" t="s">
        <v>38</v>
      </c>
      <c r="F110" s="6" t="s">
        <v>269</v>
      </c>
      <c r="G110" s="6" t="s">
        <v>330</v>
      </c>
      <c r="H110" s="6" t="s">
        <v>331</v>
      </c>
      <c r="I110" s="6" t="s">
        <v>332</v>
      </c>
      <c r="J110" s="7" t="s">
        <v>333</v>
      </c>
    </row>
    <row r="111" customFormat="false" ht="15" hidden="false" customHeight="false" outlineLevel="0" collapsed="false">
      <c r="A111" s="6" t="s">
        <v>269</v>
      </c>
      <c r="B111" s="6" t="n">
        <v>12</v>
      </c>
      <c r="C111" s="6" t="n">
        <v>2</v>
      </c>
      <c r="D111" s="6" t="s">
        <v>42</v>
      </c>
      <c r="E111" s="6" t="s">
        <v>38</v>
      </c>
      <c r="F111" s="6" t="s">
        <v>269</v>
      </c>
      <c r="G111" s="6" t="s">
        <v>334</v>
      </c>
      <c r="H111" s="6" t="s">
        <v>335</v>
      </c>
      <c r="I111" s="6" t="s">
        <v>332</v>
      </c>
      <c r="J111" s="7" t="s">
        <v>336</v>
      </c>
    </row>
    <row r="112" customFormat="false" ht="15" hidden="false" customHeight="false" outlineLevel="0" collapsed="false">
      <c r="A112" s="6" t="s">
        <v>269</v>
      </c>
      <c r="B112" s="6" t="n">
        <v>13</v>
      </c>
      <c r="C112" s="6" t="n">
        <v>2</v>
      </c>
      <c r="D112" s="6" t="s">
        <v>42</v>
      </c>
      <c r="E112" s="6" t="s">
        <v>38</v>
      </c>
      <c r="F112" s="6" t="s">
        <v>269</v>
      </c>
      <c r="G112" s="6" t="s">
        <v>337</v>
      </c>
      <c r="H112" s="6" t="s">
        <v>338</v>
      </c>
      <c r="I112" s="6" t="s">
        <v>339</v>
      </c>
      <c r="J112" s="7" t="s">
        <v>340</v>
      </c>
    </row>
    <row r="113" customFormat="false" ht="15" hidden="false" customHeight="false" outlineLevel="0" collapsed="false">
      <c r="A113" s="6" t="s">
        <v>269</v>
      </c>
      <c r="B113" s="6" t="n">
        <v>14</v>
      </c>
      <c r="C113" s="6" t="n">
        <v>2</v>
      </c>
      <c r="D113" s="6" t="s">
        <v>42</v>
      </c>
      <c r="E113" s="6" t="s">
        <v>38</v>
      </c>
      <c r="F113" s="6" t="s">
        <v>269</v>
      </c>
      <c r="G113" s="6" t="s">
        <v>341</v>
      </c>
      <c r="H113" s="6" t="s">
        <v>342</v>
      </c>
      <c r="I113" s="6" t="s">
        <v>339</v>
      </c>
      <c r="J113" s="7" t="s">
        <v>343</v>
      </c>
    </row>
    <row r="114" customFormat="false" ht="15" hidden="false" customHeight="false" outlineLevel="0" collapsed="false">
      <c r="A114" s="6" t="s">
        <v>269</v>
      </c>
      <c r="B114" s="6" t="n">
        <v>15</v>
      </c>
      <c r="C114" s="6" t="n">
        <v>2</v>
      </c>
      <c r="D114" s="6" t="s">
        <v>42</v>
      </c>
      <c r="E114" s="6" t="s">
        <v>344</v>
      </c>
      <c r="F114" s="6"/>
      <c r="G114" s="6" t="s">
        <v>345</v>
      </c>
      <c r="H114" s="6" t="s">
        <v>346</v>
      </c>
      <c r="I114" s="6" t="s">
        <v>347</v>
      </c>
      <c r="J114" s="7" t="s">
        <v>348</v>
      </c>
    </row>
    <row r="115" customFormat="false" ht="15" hidden="false" customHeight="false" outlineLevel="0" collapsed="false">
      <c r="A115" s="6" t="s">
        <v>269</v>
      </c>
      <c r="B115" s="6" t="n">
        <v>16</v>
      </c>
      <c r="C115" s="6" t="n">
        <v>2</v>
      </c>
      <c r="D115" s="6" t="s">
        <v>42</v>
      </c>
      <c r="E115" s="6" t="s">
        <v>349</v>
      </c>
      <c r="F115" s="6"/>
      <c r="G115" s="6" t="s">
        <v>350</v>
      </c>
      <c r="H115" s="6" t="s">
        <v>351</v>
      </c>
      <c r="I115" s="6" t="s">
        <v>352</v>
      </c>
      <c r="J115" s="7" t="s">
        <v>353</v>
      </c>
    </row>
    <row r="116" customFormat="false" ht="15" hidden="false" customHeight="false" outlineLevel="0" collapsed="false">
      <c r="A116" s="6" t="s">
        <v>269</v>
      </c>
      <c r="B116" s="6" t="n">
        <v>17</v>
      </c>
      <c r="C116" s="6" t="n">
        <v>2</v>
      </c>
      <c r="D116" s="6" t="s">
        <v>42</v>
      </c>
      <c r="E116" s="6" t="s">
        <v>349</v>
      </c>
      <c r="F116" s="6"/>
      <c r="G116" s="6" t="s">
        <v>354</v>
      </c>
      <c r="H116" s="6" t="s">
        <v>351</v>
      </c>
      <c r="I116" s="6" t="s">
        <v>355</v>
      </c>
      <c r="J116" s="7" t="s">
        <v>356</v>
      </c>
    </row>
    <row r="117" customFormat="false" ht="15" hidden="false" customHeight="false" outlineLevel="0" collapsed="false">
      <c r="A117" s="6" t="s">
        <v>269</v>
      </c>
      <c r="B117" s="6" t="n">
        <v>18</v>
      </c>
      <c r="C117" s="6" t="n">
        <v>2</v>
      </c>
      <c r="D117" s="6" t="s">
        <v>42</v>
      </c>
      <c r="E117" s="6" t="s">
        <v>349</v>
      </c>
      <c r="F117" s="6"/>
      <c r="G117" s="6" t="s">
        <v>357</v>
      </c>
      <c r="H117" s="6" t="s">
        <v>351</v>
      </c>
      <c r="I117" s="6" t="s">
        <v>355</v>
      </c>
      <c r="J117" s="7" t="s">
        <v>358</v>
      </c>
    </row>
    <row r="118" customFormat="false" ht="15" hidden="false" customHeight="false" outlineLevel="0" collapsed="false">
      <c r="A118" s="6" t="s">
        <v>269</v>
      </c>
      <c r="B118" s="6" t="n">
        <v>19</v>
      </c>
      <c r="C118" s="6" t="n">
        <v>2</v>
      </c>
      <c r="D118" s="6" t="s">
        <v>42</v>
      </c>
      <c r="E118" s="6" t="s">
        <v>349</v>
      </c>
      <c r="F118" s="6"/>
      <c r="G118" s="6" t="s">
        <v>359</v>
      </c>
      <c r="H118" s="6" t="s">
        <v>351</v>
      </c>
      <c r="I118" s="6" t="s">
        <v>355</v>
      </c>
      <c r="J118" s="7" t="s">
        <v>360</v>
      </c>
    </row>
    <row r="119" customFormat="false" ht="15" hidden="false" customHeight="false" outlineLevel="0" collapsed="false">
      <c r="A119" s="6" t="s">
        <v>269</v>
      </c>
      <c r="B119" s="6" t="n">
        <v>23</v>
      </c>
      <c r="C119" s="6" t="n">
        <v>2</v>
      </c>
      <c r="D119" s="6" t="s">
        <v>42</v>
      </c>
      <c r="E119" s="6" t="s">
        <v>349</v>
      </c>
      <c r="F119" s="6"/>
      <c r="G119" s="6" t="s">
        <v>361</v>
      </c>
      <c r="H119" s="6" t="s">
        <v>351</v>
      </c>
      <c r="I119" s="6" t="s">
        <v>355</v>
      </c>
      <c r="J119" s="7" t="s">
        <v>362</v>
      </c>
    </row>
    <row r="120" customFormat="false" ht="15" hidden="false" customHeight="false" outlineLevel="0" collapsed="false">
      <c r="A120" s="6" t="s">
        <v>269</v>
      </c>
      <c r="B120" s="6" t="n">
        <v>24</v>
      </c>
      <c r="C120" s="6" t="n">
        <v>2</v>
      </c>
      <c r="D120" s="6" t="s">
        <v>42</v>
      </c>
      <c r="E120" s="6" t="s">
        <v>349</v>
      </c>
      <c r="F120" s="6"/>
      <c r="G120" s="6" t="s">
        <v>363</v>
      </c>
      <c r="H120" s="6" t="s">
        <v>351</v>
      </c>
      <c r="I120" s="6" t="s">
        <v>364</v>
      </c>
      <c r="J120" s="7" t="s">
        <v>365</v>
      </c>
    </row>
    <row r="121" customFormat="false" ht="15" hidden="false" customHeight="false" outlineLevel="0" collapsed="false">
      <c r="A121" s="6" t="s">
        <v>269</v>
      </c>
      <c r="B121" s="6" t="n">
        <v>25</v>
      </c>
      <c r="C121" s="6" t="n">
        <v>2</v>
      </c>
      <c r="D121" s="6" t="s">
        <v>42</v>
      </c>
      <c r="E121" s="6" t="s">
        <v>349</v>
      </c>
      <c r="F121" s="6"/>
      <c r="G121" s="6" t="s">
        <v>366</v>
      </c>
      <c r="H121" s="6" t="s">
        <v>351</v>
      </c>
      <c r="I121" s="6" t="s">
        <v>367</v>
      </c>
      <c r="J121" s="7" t="s">
        <v>368</v>
      </c>
    </row>
    <row r="122" customFormat="false" ht="15" hidden="false" customHeight="false" outlineLevel="0" collapsed="false">
      <c r="A122" s="6" t="s">
        <v>269</v>
      </c>
      <c r="B122" s="6" t="n">
        <v>26</v>
      </c>
      <c r="C122" s="6" t="n">
        <v>2</v>
      </c>
      <c r="D122" s="6" t="s">
        <v>42</v>
      </c>
      <c r="E122" s="6" t="s">
        <v>349</v>
      </c>
      <c r="F122" s="6"/>
      <c r="G122" s="6" t="s">
        <v>369</v>
      </c>
      <c r="H122" s="6" t="s">
        <v>351</v>
      </c>
      <c r="I122" s="6" t="s">
        <v>364</v>
      </c>
      <c r="J122" s="7" t="s">
        <v>370</v>
      </c>
    </row>
    <row r="123" customFormat="false" ht="15" hidden="false" customHeight="false" outlineLevel="0" collapsed="false">
      <c r="A123" s="6" t="s">
        <v>269</v>
      </c>
      <c r="B123" s="6" t="n">
        <v>27</v>
      </c>
      <c r="C123" s="6" t="n">
        <v>2</v>
      </c>
      <c r="D123" s="6" t="s">
        <v>42</v>
      </c>
      <c r="E123" s="6" t="s">
        <v>371</v>
      </c>
      <c r="F123" s="6"/>
      <c r="G123" s="6" t="s">
        <v>372</v>
      </c>
      <c r="H123" s="6" t="s">
        <v>373</v>
      </c>
      <c r="I123" s="6" t="s">
        <v>229</v>
      </c>
      <c r="J123" s="7" t="s">
        <v>374</v>
      </c>
    </row>
    <row r="124" customFormat="false" ht="15" hidden="false" customHeight="false" outlineLevel="0" collapsed="false">
      <c r="A124" s="6" t="s">
        <v>375</v>
      </c>
      <c r="B124" s="6" t="n">
        <v>2</v>
      </c>
      <c r="C124" s="6" t="n">
        <v>1</v>
      </c>
      <c r="D124" s="6" t="s">
        <v>32</v>
      </c>
      <c r="E124" s="6" t="s">
        <v>38</v>
      </c>
      <c r="F124" s="6"/>
      <c r="G124" s="6" t="s">
        <v>376</v>
      </c>
      <c r="H124" s="6" t="s">
        <v>38</v>
      </c>
      <c r="I124" s="6" t="s">
        <v>64</v>
      </c>
      <c r="J124" s="7" t="s">
        <v>377</v>
      </c>
    </row>
    <row r="125" customFormat="false" ht="15" hidden="false" customHeight="false" outlineLevel="0" collapsed="false">
      <c r="A125" s="6" t="s">
        <v>375</v>
      </c>
      <c r="B125" s="6" t="n">
        <v>3</v>
      </c>
      <c r="C125" s="6" t="n">
        <v>1</v>
      </c>
      <c r="D125" s="6" t="s">
        <v>32</v>
      </c>
      <c r="E125" s="6" t="s">
        <v>273</v>
      </c>
      <c r="F125" s="6"/>
      <c r="G125" s="6" t="s">
        <v>274</v>
      </c>
      <c r="H125" s="6" t="s">
        <v>275</v>
      </c>
      <c r="I125" s="6" t="s">
        <v>40</v>
      </c>
      <c r="J125" s="7" t="s">
        <v>276</v>
      </c>
    </row>
    <row r="126" customFormat="false" ht="15" hidden="false" customHeight="false" outlineLevel="0" collapsed="false">
      <c r="A126" s="6" t="s">
        <v>375</v>
      </c>
      <c r="B126" s="6" t="n">
        <v>4</v>
      </c>
      <c r="C126" s="6" t="n">
        <v>1</v>
      </c>
      <c r="D126" s="6" t="s">
        <v>42</v>
      </c>
      <c r="E126" s="6" t="s">
        <v>38</v>
      </c>
      <c r="F126" s="6"/>
      <c r="G126" s="6" t="s">
        <v>301</v>
      </c>
      <c r="H126" s="6" t="s">
        <v>38</v>
      </c>
      <c r="I126" s="6" t="s">
        <v>64</v>
      </c>
      <c r="J126" s="7" t="s">
        <v>378</v>
      </c>
    </row>
    <row r="127" customFormat="false" ht="15" hidden="false" customHeight="false" outlineLevel="0" collapsed="false">
      <c r="A127" s="6" t="s">
        <v>375</v>
      </c>
      <c r="B127" s="6" t="n">
        <v>5</v>
      </c>
      <c r="C127" s="6" t="n">
        <v>1</v>
      </c>
      <c r="D127" s="6" t="s">
        <v>42</v>
      </c>
      <c r="E127" s="6" t="s">
        <v>38</v>
      </c>
      <c r="F127" s="6"/>
      <c r="G127" s="6" t="s">
        <v>379</v>
      </c>
      <c r="H127" s="6" t="s">
        <v>38</v>
      </c>
      <c r="I127" s="6" t="s">
        <v>51</v>
      </c>
      <c r="J127" s="7" t="s">
        <v>380</v>
      </c>
    </row>
    <row r="128" customFormat="false" ht="15" hidden="false" customHeight="false" outlineLevel="0" collapsed="false">
      <c r="A128" s="6" t="s">
        <v>375</v>
      </c>
      <c r="B128" s="6" t="n">
        <v>6</v>
      </c>
      <c r="C128" s="6" t="n">
        <v>1</v>
      </c>
      <c r="D128" s="6" t="s">
        <v>32</v>
      </c>
      <c r="E128" s="6" t="s">
        <v>273</v>
      </c>
      <c r="F128" s="6"/>
      <c r="G128" s="6" t="s">
        <v>381</v>
      </c>
      <c r="H128" s="6" t="s">
        <v>275</v>
      </c>
      <c r="I128" s="6" t="s">
        <v>104</v>
      </c>
      <c r="J128" s="7" t="s">
        <v>382</v>
      </c>
    </row>
    <row r="129" customFormat="false" ht="15" hidden="false" customHeight="false" outlineLevel="0" collapsed="false">
      <c r="A129" s="6" t="s">
        <v>375</v>
      </c>
      <c r="B129" s="6" t="n">
        <v>7</v>
      </c>
      <c r="C129" s="6" t="n">
        <v>1</v>
      </c>
      <c r="D129" s="6" t="s">
        <v>32</v>
      </c>
      <c r="E129" s="6" t="s">
        <v>38</v>
      </c>
      <c r="F129" s="6"/>
      <c r="G129" s="6" t="s">
        <v>383</v>
      </c>
      <c r="H129" s="6" t="s">
        <v>38</v>
      </c>
      <c r="I129" s="6" t="s">
        <v>308</v>
      </c>
      <c r="J129" s="7" t="s">
        <v>384</v>
      </c>
    </row>
    <row r="130" customFormat="false" ht="15" hidden="false" customHeight="false" outlineLevel="0" collapsed="false">
      <c r="A130" s="6" t="s">
        <v>375</v>
      </c>
      <c r="B130" s="6" t="n">
        <v>12</v>
      </c>
      <c r="C130" s="6" t="n">
        <v>1</v>
      </c>
      <c r="D130" s="6" t="s">
        <v>42</v>
      </c>
      <c r="E130" s="6" t="s">
        <v>38</v>
      </c>
      <c r="F130" s="6"/>
      <c r="G130" s="6" t="s">
        <v>385</v>
      </c>
      <c r="H130" s="6" t="s">
        <v>38</v>
      </c>
      <c r="I130" s="6" t="s">
        <v>58</v>
      </c>
      <c r="J130" s="7" t="s">
        <v>386</v>
      </c>
    </row>
    <row r="131" customFormat="false" ht="15" hidden="false" customHeight="false" outlineLevel="0" collapsed="false">
      <c r="A131" s="6" t="s">
        <v>375</v>
      </c>
      <c r="B131" s="6" t="n">
        <v>13</v>
      </c>
      <c r="C131" s="6" t="n">
        <v>1</v>
      </c>
      <c r="D131" s="6" t="s">
        <v>42</v>
      </c>
      <c r="E131" s="6" t="s">
        <v>38</v>
      </c>
      <c r="F131" s="6"/>
      <c r="G131" s="6" t="s">
        <v>387</v>
      </c>
      <c r="H131" s="6" t="s">
        <v>38</v>
      </c>
      <c r="I131" s="6" t="s">
        <v>388</v>
      </c>
      <c r="J131" s="7" t="s">
        <v>389</v>
      </c>
    </row>
    <row r="132" customFormat="false" ht="15" hidden="false" customHeight="false" outlineLevel="0" collapsed="false">
      <c r="A132" s="6" t="s">
        <v>375</v>
      </c>
      <c r="B132" s="6" t="n">
        <v>14</v>
      </c>
      <c r="C132" s="6" t="n">
        <v>1</v>
      </c>
      <c r="D132" s="6" t="s">
        <v>32</v>
      </c>
      <c r="E132" s="6" t="s">
        <v>273</v>
      </c>
      <c r="F132" s="6"/>
      <c r="G132" s="6" t="s">
        <v>390</v>
      </c>
      <c r="H132" s="6" t="s">
        <v>275</v>
      </c>
      <c r="I132" s="6" t="s">
        <v>212</v>
      </c>
      <c r="J132" s="7" t="s">
        <v>391</v>
      </c>
    </row>
    <row r="133" customFormat="false" ht="15" hidden="false" customHeight="false" outlineLevel="0" collapsed="false">
      <c r="A133" s="6" t="s">
        <v>375</v>
      </c>
      <c r="B133" s="6" t="n">
        <v>15</v>
      </c>
      <c r="C133" s="6" t="n">
        <v>1</v>
      </c>
      <c r="D133" s="6" t="s">
        <v>32</v>
      </c>
      <c r="E133" s="6" t="s">
        <v>273</v>
      </c>
      <c r="F133" s="6"/>
      <c r="G133" s="6" t="s">
        <v>392</v>
      </c>
      <c r="H133" s="6" t="s">
        <v>275</v>
      </c>
      <c r="I133" s="6" t="s">
        <v>181</v>
      </c>
      <c r="J133" s="7" t="s">
        <v>393</v>
      </c>
    </row>
    <row r="134" customFormat="false" ht="15" hidden="false" customHeight="false" outlineLevel="0" collapsed="false">
      <c r="A134" s="6" t="s">
        <v>375</v>
      </c>
      <c r="B134" s="6" t="n">
        <v>16</v>
      </c>
      <c r="C134" s="6" t="n">
        <v>1</v>
      </c>
      <c r="D134" s="6" t="s">
        <v>42</v>
      </c>
      <c r="E134" s="6" t="s">
        <v>305</v>
      </c>
      <c r="F134" s="6"/>
      <c r="G134" s="6" t="s">
        <v>394</v>
      </c>
      <c r="H134" s="6" t="s">
        <v>307</v>
      </c>
      <c r="I134" s="6" t="s">
        <v>395</v>
      </c>
      <c r="J134" s="7" t="s">
        <v>396</v>
      </c>
    </row>
    <row r="135" customFormat="false" ht="15" hidden="false" customHeight="false" outlineLevel="0" collapsed="false">
      <c r="A135" s="6" t="s">
        <v>375</v>
      </c>
      <c r="B135" s="6" t="n">
        <v>17</v>
      </c>
      <c r="C135" s="6" t="n">
        <v>1</v>
      </c>
      <c r="D135" s="6" t="s">
        <v>42</v>
      </c>
      <c r="E135" s="6" t="s">
        <v>38</v>
      </c>
      <c r="F135" s="6"/>
      <c r="G135" s="6" t="s">
        <v>397</v>
      </c>
      <c r="H135" s="6" t="s">
        <v>38</v>
      </c>
      <c r="I135" s="6" t="s">
        <v>51</v>
      </c>
      <c r="J135" s="7" t="s">
        <v>398</v>
      </c>
    </row>
    <row r="136" customFormat="false" ht="15" hidden="false" customHeight="false" outlineLevel="0" collapsed="false">
      <c r="A136" s="6" t="s">
        <v>375</v>
      </c>
      <c r="B136" s="6" t="n">
        <v>19</v>
      </c>
      <c r="C136" s="6" t="n">
        <v>1</v>
      </c>
      <c r="D136" s="6" t="s">
        <v>42</v>
      </c>
      <c r="E136" s="6" t="s">
        <v>273</v>
      </c>
      <c r="F136" s="6"/>
      <c r="G136" s="6" t="s">
        <v>399</v>
      </c>
      <c r="H136" s="6" t="s">
        <v>275</v>
      </c>
      <c r="I136" s="6" t="s">
        <v>212</v>
      </c>
      <c r="J136" s="7" t="s">
        <v>400</v>
      </c>
    </row>
    <row r="137" customFormat="false" ht="15" hidden="false" customHeight="false" outlineLevel="0" collapsed="false">
      <c r="A137" s="6" t="s">
        <v>375</v>
      </c>
      <c r="B137" s="6" t="n">
        <v>20</v>
      </c>
      <c r="C137" s="6" t="n">
        <v>1</v>
      </c>
      <c r="D137" s="6" t="s">
        <v>42</v>
      </c>
      <c r="E137" s="6" t="s">
        <v>273</v>
      </c>
      <c r="F137" s="6"/>
      <c r="G137" s="6" t="s">
        <v>401</v>
      </c>
      <c r="H137" s="6" t="s">
        <v>275</v>
      </c>
      <c r="I137" s="6" t="s">
        <v>51</v>
      </c>
      <c r="J137" s="7" t="s">
        <v>402</v>
      </c>
    </row>
    <row r="138" customFormat="false" ht="15" hidden="false" customHeight="false" outlineLevel="0" collapsed="false">
      <c r="A138" s="6" t="s">
        <v>375</v>
      </c>
      <c r="B138" s="6" t="n">
        <v>21</v>
      </c>
      <c r="C138" s="6" t="n">
        <v>1</v>
      </c>
      <c r="D138" s="6" t="s">
        <v>42</v>
      </c>
      <c r="E138" s="6" t="s">
        <v>49</v>
      </c>
      <c r="F138" s="6"/>
      <c r="G138" s="6" t="s">
        <v>403</v>
      </c>
      <c r="H138" s="6" t="s">
        <v>49</v>
      </c>
      <c r="I138" s="6" t="s">
        <v>87</v>
      </c>
      <c r="J138" s="7" t="s">
        <v>404</v>
      </c>
    </row>
    <row r="139" customFormat="false" ht="15" hidden="false" customHeight="false" outlineLevel="0" collapsed="false">
      <c r="A139" s="6" t="s">
        <v>375</v>
      </c>
      <c r="B139" s="6" t="n">
        <v>22</v>
      </c>
      <c r="C139" s="6" t="n">
        <v>1</v>
      </c>
      <c r="D139" s="6" t="s">
        <v>42</v>
      </c>
      <c r="E139" s="6" t="s">
        <v>38</v>
      </c>
      <c r="F139" s="6"/>
      <c r="G139" s="6" t="s">
        <v>288</v>
      </c>
      <c r="H139" s="6" t="s">
        <v>38</v>
      </c>
      <c r="I139" s="6" t="s">
        <v>289</v>
      </c>
      <c r="J139" s="7" t="s">
        <v>405</v>
      </c>
    </row>
    <row r="140" customFormat="false" ht="15" hidden="false" customHeight="false" outlineLevel="0" collapsed="false">
      <c r="A140" s="6" t="s">
        <v>375</v>
      </c>
      <c r="B140" s="6" t="n">
        <v>23</v>
      </c>
      <c r="C140" s="6" t="n">
        <v>1</v>
      </c>
      <c r="D140" s="6" t="s">
        <v>42</v>
      </c>
      <c r="E140" s="6" t="s">
        <v>38</v>
      </c>
      <c r="F140" s="6"/>
      <c r="G140" s="6" t="s">
        <v>406</v>
      </c>
      <c r="H140" s="6" t="s">
        <v>38</v>
      </c>
      <c r="I140" s="6" t="s">
        <v>407</v>
      </c>
      <c r="J140" s="7" t="s">
        <v>408</v>
      </c>
    </row>
    <row r="141" customFormat="false" ht="15" hidden="false" customHeight="false" outlineLevel="0" collapsed="false">
      <c r="A141" s="6" t="s">
        <v>375</v>
      </c>
      <c r="B141" s="6" t="n">
        <v>24</v>
      </c>
      <c r="C141" s="6" t="n">
        <v>1</v>
      </c>
      <c r="D141" s="6" t="s">
        <v>42</v>
      </c>
      <c r="E141" s="6" t="s">
        <v>38</v>
      </c>
      <c r="F141" s="6"/>
      <c r="G141" s="6" t="s">
        <v>409</v>
      </c>
      <c r="H141" s="6" t="s">
        <v>38</v>
      </c>
      <c r="I141" s="6" t="s">
        <v>388</v>
      </c>
      <c r="J141" s="7" t="s">
        <v>410</v>
      </c>
    </row>
    <row r="142" customFormat="false" ht="15" hidden="false" customHeight="false" outlineLevel="0" collapsed="false">
      <c r="A142" s="6" t="s">
        <v>375</v>
      </c>
      <c r="B142" s="6" t="n">
        <v>25</v>
      </c>
      <c r="C142" s="6" t="n">
        <v>1</v>
      </c>
      <c r="D142" s="6" t="s">
        <v>42</v>
      </c>
      <c r="E142" s="6" t="s">
        <v>273</v>
      </c>
      <c r="F142" s="6"/>
      <c r="G142" s="6" t="s">
        <v>411</v>
      </c>
      <c r="H142" s="6" t="s">
        <v>275</v>
      </c>
      <c r="I142" s="6" t="s">
        <v>51</v>
      </c>
      <c r="J142" s="7" t="s">
        <v>412</v>
      </c>
    </row>
    <row r="143" customFormat="false" ht="15" hidden="false" customHeight="false" outlineLevel="0" collapsed="false">
      <c r="A143" s="6" t="s">
        <v>375</v>
      </c>
      <c r="B143" s="6" t="n">
        <v>26</v>
      </c>
      <c r="C143" s="6" t="n">
        <v>1</v>
      </c>
      <c r="D143" s="6" t="s">
        <v>42</v>
      </c>
      <c r="E143" s="6" t="s">
        <v>38</v>
      </c>
      <c r="F143" s="6"/>
      <c r="G143" s="6" t="s">
        <v>413</v>
      </c>
      <c r="H143" s="6" t="s">
        <v>38</v>
      </c>
      <c r="I143" s="6"/>
      <c r="J143" s="7" t="s">
        <v>414</v>
      </c>
    </row>
    <row r="144" customFormat="false" ht="15" hidden="false" customHeight="false" outlineLevel="0" collapsed="false">
      <c r="A144" s="6" t="s">
        <v>375</v>
      </c>
      <c r="B144" s="6" t="n">
        <v>27</v>
      </c>
      <c r="C144" s="6" t="n">
        <v>1</v>
      </c>
      <c r="D144" s="6" t="s">
        <v>42</v>
      </c>
      <c r="E144" s="6" t="s">
        <v>38</v>
      </c>
      <c r="F144" s="6"/>
      <c r="G144" s="6" t="s">
        <v>415</v>
      </c>
      <c r="H144" s="6" t="s">
        <v>38</v>
      </c>
      <c r="I144" s="6" t="s">
        <v>51</v>
      </c>
      <c r="J144" s="7" t="s">
        <v>416</v>
      </c>
    </row>
    <row r="145" customFormat="false" ht="15" hidden="false" customHeight="false" outlineLevel="0" collapsed="false">
      <c r="A145" s="6" t="s">
        <v>375</v>
      </c>
      <c r="B145" s="6" t="n">
        <v>3</v>
      </c>
      <c r="C145" s="6" t="n">
        <v>2</v>
      </c>
      <c r="D145" s="6" t="s">
        <v>32</v>
      </c>
      <c r="E145" s="6" t="s">
        <v>273</v>
      </c>
      <c r="F145" s="6"/>
      <c r="G145" s="6" t="s">
        <v>417</v>
      </c>
      <c r="H145" s="6" t="s">
        <v>275</v>
      </c>
      <c r="I145" s="6" t="s">
        <v>181</v>
      </c>
      <c r="J145" s="7" t="s">
        <v>418</v>
      </c>
    </row>
    <row r="146" customFormat="false" ht="15" hidden="false" customHeight="false" outlineLevel="0" collapsed="false">
      <c r="A146" s="6" t="s">
        <v>375</v>
      </c>
      <c r="B146" s="6" t="n">
        <v>4</v>
      </c>
      <c r="C146" s="6" t="n">
        <v>2</v>
      </c>
      <c r="D146" s="6" t="s">
        <v>32</v>
      </c>
      <c r="E146" s="6" t="s">
        <v>273</v>
      </c>
      <c r="F146" s="6"/>
      <c r="G146" s="6" t="s">
        <v>419</v>
      </c>
      <c r="H146" s="6" t="s">
        <v>420</v>
      </c>
      <c r="I146" s="6" t="s">
        <v>181</v>
      </c>
      <c r="J146" s="7" t="s">
        <v>421</v>
      </c>
    </row>
    <row r="147" customFormat="false" ht="15" hidden="false" customHeight="false" outlineLevel="0" collapsed="false">
      <c r="A147" s="6" t="s">
        <v>375</v>
      </c>
      <c r="B147" s="6" t="n">
        <v>5</v>
      </c>
      <c r="C147" s="6" t="n">
        <v>2</v>
      </c>
      <c r="D147" s="6" t="s">
        <v>32</v>
      </c>
      <c r="E147" s="6" t="s">
        <v>422</v>
      </c>
      <c r="F147" s="6"/>
      <c r="G147" s="6" t="s">
        <v>423</v>
      </c>
      <c r="H147" s="6" t="s">
        <v>424</v>
      </c>
      <c r="I147" s="6" t="s">
        <v>425</v>
      </c>
      <c r="J147" s="7" t="s">
        <v>426</v>
      </c>
    </row>
    <row r="148" customFormat="false" ht="15" hidden="false" customHeight="false" outlineLevel="0" collapsed="false">
      <c r="A148" s="6" t="s">
        <v>375</v>
      </c>
      <c r="B148" s="6" t="n">
        <v>6</v>
      </c>
      <c r="C148" s="6" t="n">
        <v>2</v>
      </c>
      <c r="D148" s="6" t="s">
        <v>42</v>
      </c>
      <c r="E148" s="6" t="s">
        <v>38</v>
      </c>
      <c r="F148" s="6"/>
      <c r="G148" s="6" t="s">
        <v>427</v>
      </c>
      <c r="H148" s="6" t="s">
        <v>38</v>
      </c>
      <c r="I148" s="6" t="s">
        <v>64</v>
      </c>
      <c r="J148" s="7" t="s">
        <v>428</v>
      </c>
    </row>
    <row r="149" customFormat="false" ht="15" hidden="false" customHeight="false" outlineLevel="0" collapsed="false">
      <c r="A149" s="6" t="s">
        <v>375</v>
      </c>
      <c r="B149" s="6" t="n">
        <v>7</v>
      </c>
      <c r="C149" s="6" t="n">
        <v>2</v>
      </c>
      <c r="D149" s="6" t="s">
        <v>42</v>
      </c>
      <c r="E149" s="6" t="s">
        <v>38</v>
      </c>
      <c r="F149" s="6"/>
      <c r="G149" s="6" t="s">
        <v>429</v>
      </c>
      <c r="H149" s="6" t="s">
        <v>38</v>
      </c>
      <c r="I149" s="6" t="s">
        <v>297</v>
      </c>
      <c r="J149" s="7" t="s">
        <v>430</v>
      </c>
    </row>
    <row r="150" customFormat="false" ht="15" hidden="false" customHeight="false" outlineLevel="0" collapsed="false">
      <c r="A150" s="6" t="s">
        <v>375</v>
      </c>
      <c r="B150" s="6" t="n">
        <v>8</v>
      </c>
      <c r="C150" s="6" t="n">
        <v>2</v>
      </c>
      <c r="D150" s="6" t="s">
        <v>42</v>
      </c>
      <c r="E150" s="6" t="s">
        <v>38</v>
      </c>
      <c r="F150" s="6"/>
      <c r="G150" s="6" t="s">
        <v>431</v>
      </c>
      <c r="H150" s="6" t="s">
        <v>38</v>
      </c>
      <c r="I150" s="6" t="s">
        <v>388</v>
      </c>
      <c r="J150" s="7" t="s">
        <v>432</v>
      </c>
    </row>
    <row r="151" customFormat="false" ht="15" hidden="false" customHeight="false" outlineLevel="0" collapsed="false">
      <c r="A151" s="6" t="s">
        <v>375</v>
      </c>
      <c r="B151" s="6" t="n">
        <v>14</v>
      </c>
      <c r="C151" s="6" t="n">
        <v>2</v>
      </c>
      <c r="D151" s="6" t="s">
        <v>42</v>
      </c>
      <c r="E151" s="6" t="s">
        <v>38</v>
      </c>
      <c r="F151" s="6"/>
      <c r="G151" s="6" t="s">
        <v>433</v>
      </c>
      <c r="H151" s="6" t="s">
        <v>38</v>
      </c>
      <c r="I151" s="6" t="s">
        <v>40</v>
      </c>
      <c r="J151" s="7" t="s">
        <v>434</v>
      </c>
    </row>
    <row r="152" customFormat="false" ht="15" hidden="false" customHeight="false" outlineLevel="0" collapsed="false">
      <c r="A152" s="6" t="s">
        <v>375</v>
      </c>
      <c r="B152" s="6" t="n">
        <v>15</v>
      </c>
      <c r="C152" s="6" t="n">
        <v>2</v>
      </c>
      <c r="D152" s="6" t="s">
        <v>42</v>
      </c>
      <c r="E152" s="6" t="s">
        <v>38</v>
      </c>
      <c r="F152" s="6"/>
      <c r="G152" s="6" t="s">
        <v>435</v>
      </c>
      <c r="H152" s="6" t="s">
        <v>38</v>
      </c>
      <c r="I152" s="6" t="s">
        <v>388</v>
      </c>
      <c r="J152" s="7" t="s">
        <v>436</v>
      </c>
    </row>
    <row r="153" customFormat="false" ht="15" hidden="false" customHeight="false" outlineLevel="0" collapsed="false">
      <c r="A153" s="6" t="s">
        <v>375</v>
      </c>
      <c r="B153" s="6" t="n">
        <v>16</v>
      </c>
      <c r="C153" s="6" t="n">
        <v>2</v>
      </c>
      <c r="D153" s="6" t="s">
        <v>42</v>
      </c>
      <c r="E153" s="6" t="s">
        <v>38</v>
      </c>
      <c r="F153" s="6"/>
      <c r="G153" s="6" t="s">
        <v>437</v>
      </c>
      <c r="H153" s="6" t="s">
        <v>38</v>
      </c>
      <c r="I153" s="6" t="s">
        <v>204</v>
      </c>
      <c r="J153" s="7" t="s">
        <v>438</v>
      </c>
    </row>
    <row r="154" customFormat="false" ht="15" hidden="false" customHeight="false" outlineLevel="0" collapsed="false">
      <c r="A154" s="6" t="s">
        <v>375</v>
      </c>
      <c r="B154" s="6" t="n">
        <v>17</v>
      </c>
      <c r="C154" s="6" t="n">
        <v>2</v>
      </c>
      <c r="D154" s="6" t="s">
        <v>42</v>
      </c>
      <c r="E154" s="6" t="s">
        <v>38</v>
      </c>
      <c r="F154" s="6"/>
      <c r="G154" s="6" t="s">
        <v>439</v>
      </c>
      <c r="H154" s="6" t="s">
        <v>38</v>
      </c>
      <c r="I154" s="6" t="s">
        <v>440</v>
      </c>
      <c r="J154" s="7" t="s">
        <v>441</v>
      </c>
    </row>
    <row r="155" customFormat="false" ht="15" hidden="false" customHeight="false" outlineLevel="0" collapsed="false">
      <c r="A155" s="6" t="s">
        <v>375</v>
      </c>
      <c r="B155" s="6" t="n">
        <v>18</v>
      </c>
      <c r="C155" s="6" t="n">
        <v>2</v>
      </c>
      <c r="D155" s="6" t="s">
        <v>42</v>
      </c>
      <c r="E155" s="6" t="s">
        <v>38</v>
      </c>
      <c r="F155" s="6"/>
      <c r="G155" s="6" t="s">
        <v>270</v>
      </c>
      <c r="H155" s="6" t="s">
        <v>38</v>
      </c>
      <c r="I155" s="6" t="s">
        <v>271</v>
      </c>
      <c r="J155" s="7" t="s">
        <v>442</v>
      </c>
    </row>
    <row r="156" customFormat="false" ht="15" hidden="false" customHeight="false" outlineLevel="0" collapsed="false">
      <c r="A156" s="6" t="s">
        <v>375</v>
      </c>
      <c r="B156" s="6" t="n">
        <v>19</v>
      </c>
      <c r="C156" s="6" t="n">
        <v>2</v>
      </c>
      <c r="D156" s="6" t="s">
        <v>42</v>
      </c>
      <c r="E156" s="6" t="s">
        <v>38</v>
      </c>
      <c r="F156" s="6"/>
      <c r="G156" s="6" t="s">
        <v>443</v>
      </c>
      <c r="H156" s="6" t="s">
        <v>38</v>
      </c>
      <c r="I156" s="6" t="s">
        <v>101</v>
      </c>
      <c r="J156" s="7" t="s">
        <v>444</v>
      </c>
    </row>
    <row r="157" customFormat="false" ht="15" hidden="false" customHeight="false" outlineLevel="0" collapsed="false">
      <c r="A157" s="6" t="s">
        <v>375</v>
      </c>
      <c r="B157" s="6" t="n">
        <v>20</v>
      </c>
      <c r="C157" s="6" t="n">
        <v>2</v>
      </c>
      <c r="D157" s="6" t="s">
        <v>42</v>
      </c>
      <c r="E157" s="6" t="s">
        <v>38</v>
      </c>
      <c r="F157" s="6"/>
      <c r="G157" s="6" t="s">
        <v>445</v>
      </c>
      <c r="H157" s="6" t="s">
        <v>38</v>
      </c>
      <c r="I157" s="6" t="s">
        <v>82</v>
      </c>
      <c r="J157" s="7" t="s">
        <v>446</v>
      </c>
    </row>
    <row r="158" customFormat="false" ht="15" hidden="false" customHeight="false" outlineLevel="0" collapsed="false">
      <c r="A158" s="6" t="s">
        <v>375</v>
      </c>
      <c r="B158" s="6" t="n">
        <v>21</v>
      </c>
      <c r="C158" s="6" t="n">
        <v>2</v>
      </c>
      <c r="D158" s="6" t="s">
        <v>42</v>
      </c>
      <c r="E158" s="6" t="s">
        <v>49</v>
      </c>
      <c r="F158" s="6"/>
      <c r="G158" s="6" t="s">
        <v>447</v>
      </c>
      <c r="H158" s="6" t="s">
        <v>49</v>
      </c>
      <c r="I158" s="6" t="s">
        <v>44</v>
      </c>
      <c r="J158" s="7" t="s">
        <v>448</v>
      </c>
    </row>
    <row r="159" customFormat="false" ht="15" hidden="false" customHeight="false" outlineLevel="0" collapsed="false">
      <c r="A159" s="6" t="s">
        <v>375</v>
      </c>
      <c r="B159" s="6" t="n">
        <v>22</v>
      </c>
      <c r="C159" s="6" t="n">
        <v>2</v>
      </c>
      <c r="D159" s="6" t="s">
        <v>42</v>
      </c>
      <c r="E159" s="6" t="s">
        <v>38</v>
      </c>
      <c r="F159" s="6"/>
      <c r="G159" s="6" t="s">
        <v>449</v>
      </c>
      <c r="H159" s="6" t="s">
        <v>38</v>
      </c>
      <c r="I159" s="6" t="s">
        <v>278</v>
      </c>
      <c r="J159" s="7" t="s">
        <v>450</v>
      </c>
    </row>
    <row r="160" customFormat="false" ht="15" hidden="false" customHeight="false" outlineLevel="0" collapsed="false">
      <c r="A160" s="6" t="s">
        <v>375</v>
      </c>
      <c r="B160" s="6" t="n">
        <v>23</v>
      </c>
      <c r="C160" s="6" t="n">
        <v>2</v>
      </c>
      <c r="D160" s="6" t="s">
        <v>42</v>
      </c>
      <c r="E160" s="6" t="s">
        <v>49</v>
      </c>
      <c r="F160" s="6"/>
      <c r="G160" s="6" t="s">
        <v>451</v>
      </c>
      <c r="H160" s="6" t="s">
        <v>49</v>
      </c>
      <c r="I160" s="6" t="s">
        <v>181</v>
      </c>
      <c r="J160" s="7" t="s">
        <v>452</v>
      </c>
    </row>
    <row r="161" customFormat="false" ht="15" hidden="false" customHeight="false" outlineLevel="0" collapsed="false">
      <c r="A161" s="6" t="s">
        <v>375</v>
      </c>
      <c r="B161" s="6" t="n">
        <v>24</v>
      </c>
      <c r="C161" s="6" t="n">
        <v>2</v>
      </c>
      <c r="D161" s="6" t="s">
        <v>42</v>
      </c>
      <c r="E161" s="6" t="s">
        <v>273</v>
      </c>
      <c r="F161" s="6"/>
      <c r="G161" s="6" t="s">
        <v>453</v>
      </c>
      <c r="H161" s="6" t="s">
        <v>275</v>
      </c>
      <c r="I161" s="6" t="s">
        <v>388</v>
      </c>
      <c r="J161" s="7" t="s">
        <v>454</v>
      </c>
    </row>
    <row r="162" customFormat="false" ht="15" hidden="false" customHeight="false" outlineLevel="0" collapsed="false">
      <c r="A162" s="6" t="s">
        <v>375</v>
      </c>
      <c r="B162" s="6" t="n">
        <v>25</v>
      </c>
      <c r="C162" s="6" t="n">
        <v>2</v>
      </c>
      <c r="D162" s="6" t="s">
        <v>42</v>
      </c>
      <c r="E162" s="6" t="s">
        <v>38</v>
      </c>
      <c r="F162" s="6"/>
      <c r="G162" s="6" t="s">
        <v>455</v>
      </c>
      <c r="H162" s="6" t="s">
        <v>38</v>
      </c>
      <c r="I162" s="6" t="s">
        <v>289</v>
      </c>
      <c r="J162" s="7" t="s">
        <v>456</v>
      </c>
    </row>
    <row r="163" customFormat="false" ht="15" hidden="false" customHeight="false" outlineLevel="0" collapsed="false">
      <c r="A163" s="6" t="s">
        <v>375</v>
      </c>
      <c r="B163" s="6" t="n">
        <v>26</v>
      </c>
      <c r="C163" s="6" t="n">
        <v>2</v>
      </c>
      <c r="D163" s="6" t="s">
        <v>42</v>
      </c>
      <c r="E163" s="6" t="s">
        <v>49</v>
      </c>
      <c r="F163" s="6"/>
      <c r="G163" s="6" t="s">
        <v>457</v>
      </c>
      <c r="H163" s="6" t="s">
        <v>49</v>
      </c>
      <c r="I163" s="6" t="s">
        <v>51</v>
      </c>
      <c r="J163" s="7" t="s">
        <v>458</v>
      </c>
    </row>
    <row r="164" customFormat="false" ht="15" hidden="false" customHeight="false" outlineLevel="0" collapsed="false">
      <c r="A164" s="6" t="s">
        <v>459</v>
      </c>
      <c r="B164" s="6" t="n">
        <v>3</v>
      </c>
      <c r="C164" s="6" t="n">
        <v>1</v>
      </c>
      <c r="D164" s="6" t="s">
        <v>32</v>
      </c>
      <c r="E164" s="6" t="s">
        <v>49</v>
      </c>
      <c r="F164" s="6"/>
      <c r="G164" s="6" t="s">
        <v>460</v>
      </c>
      <c r="H164" s="6" t="s">
        <v>461</v>
      </c>
      <c r="I164" s="6" t="s">
        <v>462</v>
      </c>
      <c r="J164" s="7" t="s">
        <v>463</v>
      </c>
    </row>
    <row r="165" customFormat="false" ht="15" hidden="false" customHeight="false" outlineLevel="0" collapsed="false">
      <c r="A165" s="6" t="s">
        <v>459</v>
      </c>
      <c r="B165" s="6" t="n">
        <v>4</v>
      </c>
      <c r="C165" s="6" t="n">
        <v>1</v>
      </c>
      <c r="D165" s="6" t="s">
        <v>32</v>
      </c>
      <c r="E165" s="6" t="s">
        <v>49</v>
      </c>
      <c r="F165" s="6"/>
      <c r="G165" s="6" t="s">
        <v>464</v>
      </c>
      <c r="H165" s="6" t="s">
        <v>49</v>
      </c>
      <c r="I165" s="6" t="s">
        <v>278</v>
      </c>
      <c r="J165" s="7" t="s">
        <v>465</v>
      </c>
    </row>
    <row r="166" customFormat="false" ht="15" hidden="false" customHeight="false" outlineLevel="0" collapsed="false">
      <c r="A166" s="6" t="s">
        <v>459</v>
      </c>
      <c r="B166" s="6" t="n">
        <v>5</v>
      </c>
      <c r="C166" s="6" t="n">
        <v>1</v>
      </c>
      <c r="D166" s="6" t="s">
        <v>42</v>
      </c>
      <c r="E166" s="6" t="s">
        <v>49</v>
      </c>
      <c r="F166" s="6"/>
      <c r="G166" s="6" t="s">
        <v>466</v>
      </c>
      <c r="H166" s="6" t="s">
        <v>49</v>
      </c>
      <c r="I166" s="6" t="s">
        <v>181</v>
      </c>
      <c r="J166" s="7" t="s">
        <v>467</v>
      </c>
    </row>
    <row r="167" customFormat="false" ht="15" hidden="false" customHeight="false" outlineLevel="0" collapsed="false">
      <c r="A167" s="6" t="s">
        <v>459</v>
      </c>
      <c r="B167" s="6" t="n">
        <v>6</v>
      </c>
      <c r="C167" s="6" t="n">
        <v>1</v>
      </c>
      <c r="D167" s="6" t="s">
        <v>42</v>
      </c>
      <c r="E167" s="6" t="s">
        <v>49</v>
      </c>
      <c r="F167" s="6"/>
      <c r="G167" s="6" t="s">
        <v>468</v>
      </c>
      <c r="H167" s="6" t="s">
        <v>49</v>
      </c>
      <c r="I167" s="6" t="s">
        <v>178</v>
      </c>
      <c r="J167" s="7" t="s">
        <v>469</v>
      </c>
    </row>
    <row r="168" customFormat="false" ht="15" hidden="false" customHeight="false" outlineLevel="0" collapsed="false">
      <c r="A168" s="6" t="s">
        <v>459</v>
      </c>
      <c r="B168" s="6" t="n">
        <v>7</v>
      </c>
      <c r="C168" s="6" t="n">
        <v>1</v>
      </c>
      <c r="D168" s="6" t="s">
        <v>32</v>
      </c>
      <c r="E168" s="6" t="s">
        <v>49</v>
      </c>
      <c r="F168" s="6"/>
      <c r="G168" s="6" t="s">
        <v>470</v>
      </c>
      <c r="H168" s="6" t="s">
        <v>49</v>
      </c>
      <c r="I168" s="6" t="s">
        <v>294</v>
      </c>
      <c r="J168" s="7" t="s">
        <v>471</v>
      </c>
    </row>
    <row r="169" customFormat="false" ht="15" hidden="false" customHeight="false" outlineLevel="0" collapsed="false">
      <c r="A169" s="6" t="s">
        <v>459</v>
      </c>
      <c r="B169" s="6" t="n">
        <v>8</v>
      </c>
      <c r="C169" s="6" t="n">
        <v>1</v>
      </c>
      <c r="D169" s="6" t="s">
        <v>32</v>
      </c>
      <c r="E169" s="6" t="s">
        <v>49</v>
      </c>
      <c r="F169" s="6"/>
      <c r="G169" s="6" t="s">
        <v>472</v>
      </c>
      <c r="H169" s="6" t="s">
        <v>49</v>
      </c>
      <c r="I169" s="6" t="s">
        <v>87</v>
      </c>
      <c r="J169" s="7" t="s">
        <v>473</v>
      </c>
    </row>
    <row r="170" customFormat="false" ht="15" hidden="false" customHeight="false" outlineLevel="0" collapsed="false">
      <c r="A170" s="6" t="s">
        <v>459</v>
      </c>
      <c r="B170" s="6" t="n">
        <v>9</v>
      </c>
      <c r="C170" s="6" t="n">
        <v>1</v>
      </c>
      <c r="D170" s="6" t="s">
        <v>42</v>
      </c>
      <c r="E170" s="6" t="s">
        <v>49</v>
      </c>
      <c r="F170" s="6"/>
      <c r="G170" s="6" t="s">
        <v>474</v>
      </c>
      <c r="H170" s="6" t="s">
        <v>49</v>
      </c>
      <c r="I170" s="6" t="s">
        <v>64</v>
      </c>
      <c r="J170" s="7" t="s">
        <v>475</v>
      </c>
    </row>
    <row r="171" customFormat="false" ht="15" hidden="false" customHeight="false" outlineLevel="0" collapsed="false">
      <c r="A171" s="6" t="s">
        <v>459</v>
      </c>
      <c r="B171" s="6" t="n">
        <v>10</v>
      </c>
      <c r="C171" s="6" t="n">
        <v>1</v>
      </c>
      <c r="D171" s="6" t="s">
        <v>42</v>
      </c>
      <c r="E171" s="6" t="s">
        <v>305</v>
      </c>
      <c r="F171" s="6"/>
      <c r="G171" s="6" t="s">
        <v>476</v>
      </c>
      <c r="H171" s="6" t="s">
        <v>307</v>
      </c>
      <c r="I171" s="6" t="s">
        <v>47</v>
      </c>
      <c r="J171" s="7" t="s">
        <v>477</v>
      </c>
    </row>
    <row r="172" customFormat="false" ht="15" hidden="false" customHeight="false" outlineLevel="0" collapsed="false">
      <c r="A172" s="6" t="s">
        <v>459</v>
      </c>
      <c r="B172" s="6" t="n">
        <v>11</v>
      </c>
      <c r="C172" s="6" t="n">
        <v>1</v>
      </c>
      <c r="D172" s="6" t="s">
        <v>32</v>
      </c>
      <c r="E172" s="6" t="s">
        <v>49</v>
      </c>
      <c r="F172" s="6"/>
      <c r="G172" s="6" t="s">
        <v>316</v>
      </c>
      <c r="H172" s="6" t="s">
        <v>49</v>
      </c>
      <c r="I172" s="6" t="s">
        <v>178</v>
      </c>
      <c r="J172" s="7" t="s">
        <v>478</v>
      </c>
    </row>
    <row r="173" customFormat="false" ht="15" hidden="false" customHeight="false" outlineLevel="0" collapsed="false">
      <c r="A173" s="6" t="s">
        <v>459</v>
      </c>
      <c r="B173" s="6" t="n">
        <v>12</v>
      </c>
      <c r="C173" s="6" t="n">
        <v>1</v>
      </c>
      <c r="D173" s="6" t="s">
        <v>32</v>
      </c>
      <c r="E173" s="6" t="s">
        <v>49</v>
      </c>
      <c r="F173" s="6"/>
      <c r="G173" s="6" t="s">
        <v>479</v>
      </c>
      <c r="H173" s="6" t="s">
        <v>49</v>
      </c>
      <c r="I173" s="6" t="s">
        <v>294</v>
      </c>
      <c r="J173" s="7" t="s">
        <v>480</v>
      </c>
    </row>
    <row r="174" customFormat="false" ht="15" hidden="false" customHeight="false" outlineLevel="0" collapsed="false">
      <c r="A174" s="6" t="s">
        <v>459</v>
      </c>
      <c r="B174" s="6" t="n">
        <v>13</v>
      </c>
      <c r="C174" s="6" t="n">
        <v>1</v>
      </c>
      <c r="D174" s="6" t="s">
        <v>42</v>
      </c>
      <c r="E174" s="6" t="s">
        <v>49</v>
      </c>
      <c r="F174" s="6"/>
      <c r="G174" s="6" t="s">
        <v>481</v>
      </c>
      <c r="H174" s="6" t="s">
        <v>49</v>
      </c>
      <c r="I174" s="6" t="s">
        <v>87</v>
      </c>
      <c r="J174" s="7" t="s">
        <v>482</v>
      </c>
    </row>
    <row r="175" customFormat="false" ht="15" hidden="false" customHeight="false" outlineLevel="0" collapsed="false">
      <c r="A175" s="6" t="s">
        <v>459</v>
      </c>
      <c r="B175" s="6" t="n">
        <v>14</v>
      </c>
      <c r="C175" s="6" t="n">
        <v>1</v>
      </c>
      <c r="D175" s="6" t="s">
        <v>42</v>
      </c>
      <c r="E175" s="6" t="s">
        <v>49</v>
      </c>
      <c r="F175" s="6"/>
      <c r="G175" s="6" t="s">
        <v>447</v>
      </c>
      <c r="H175" s="6" t="s">
        <v>49</v>
      </c>
      <c r="I175" s="6" t="s">
        <v>44</v>
      </c>
      <c r="J175" s="7" t="s">
        <v>483</v>
      </c>
    </row>
    <row r="176" customFormat="false" ht="15" hidden="false" customHeight="false" outlineLevel="0" collapsed="false">
      <c r="A176" s="6" t="s">
        <v>459</v>
      </c>
      <c r="B176" s="6" t="n">
        <v>15</v>
      </c>
      <c r="C176" s="6" t="n">
        <v>1</v>
      </c>
      <c r="D176" s="6" t="s">
        <v>42</v>
      </c>
      <c r="E176" s="6" t="s">
        <v>49</v>
      </c>
      <c r="F176" s="6"/>
      <c r="G176" s="6" t="s">
        <v>484</v>
      </c>
      <c r="H176" s="6" t="s">
        <v>49</v>
      </c>
      <c r="I176" s="6" t="s">
        <v>82</v>
      </c>
      <c r="J176" s="7" t="s">
        <v>485</v>
      </c>
    </row>
    <row r="177" customFormat="false" ht="15" hidden="false" customHeight="false" outlineLevel="0" collapsed="false">
      <c r="A177" s="6" t="s">
        <v>459</v>
      </c>
      <c r="B177" s="6" t="n">
        <v>18</v>
      </c>
      <c r="C177" s="6" t="n">
        <v>1</v>
      </c>
      <c r="D177" s="6" t="s">
        <v>42</v>
      </c>
      <c r="E177" s="6" t="s">
        <v>344</v>
      </c>
      <c r="F177" s="6"/>
      <c r="G177" s="6" t="s">
        <v>486</v>
      </c>
      <c r="H177" s="6" t="s">
        <v>346</v>
      </c>
      <c r="I177" s="6" t="s">
        <v>487</v>
      </c>
      <c r="J177" s="7" t="s">
        <v>488</v>
      </c>
    </row>
    <row r="178" customFormat="false" ht="15" hidden="false" customHeight="false" outlineLevel="0" collapsed="false">
      <c r="A178" s="6" t="s">
        <v>459</v>
      </c>
      <c r="B178" s="6" t="n">
        <v>19</v>
      </c>
      <c r="C178" s="6" t="n">
        <v>1</v>
      </c>
      <c r="D178" s="6" t="s">
        <v>42</v>
      </c>
      <c r="E178" s="6" t="s">
        <v>489</v>
      </c>
      <c r="F178" s="6"/>
      <c r="G178" s="6" t="s">
        <v>490</v>
      </c>
      <c r="H178" s="6" t="s">
        <v>491</v>
      </c>
      <c r="I178" s="6" t="s">
        <v>487</v>
      </c>
      <c r="J178" s="7" t="s">
        <v>492</v>
      </c>
    </row>
    <row r="179" customFormat="false" ht="15" hidden="false" customHeight="false" outlineLevel="0" collapsed="false">
      <c r="A179" s="6" t="s">
        <v>459</v>
      </c>
      <c r="B179" s="6" t="n">
        <v>20</v>
      </c>
      <c r="C179" s="6" t="n">
        <v>1</v>
      </c>
      <c r="D179" s="6" t="s">
        <v>42</v>
      </c>
      <c r="E179" s="6" t="s">
        <v>344</v>
      </c>
      <c r="F179" s="6"/>
      <c r="G179" s="6" t="s">
        <v>493</v>
      </c>
      <c r="H179" s="6" t="s">
        <v>346</v>
      </c>
      <c r="I179" s="6" t="s">
        <v>347</v>
      </c>
      <c r="J179" s="7" t="s">
        <v>494</v>
      </c>
    </row>
    <row r="180" customFormat="false" ht="15" hidden="false" customHeight="false" outlineLevel="0" collapsed="false">
      <c r="A180" s="6" t="s">
        <v>459</v>
      </c>
      <c r="B180" s="6" t="n">
        <v>21</v>
      </c>
      <c r="C180" s="6" t="n">
        <v>1</v>
      </c>
      <c r="D180" s="6" t="s">
        <v>42</v>
      </c>
      <c r="E180" s="6" t="s">
        <v>49</v>
      </c>
      <c r="F180" s="6" t="s">
        <v>459</v>
      </c>
      <c r="G180" s="6" t="s">
        <v>495</v>
      </c>
      <c r="H180" s="6" t="s">
        <v>496</v>
      </c>
      <c r="I180" s="6" t="s">
        <v>497</v>
      </c>
      <c r="J180" s="7" t="s">
        <v>498</v>
      </c>
    </row>
    <row r="181" customFormat="false" ht="15" hidden="false" customHeight="false" outlineLevel="0" collapsed="false">
      <c r="A181" s="6" t="s">
        <v>459</v>
      </c>
      <c r="B181" s="6" t="n">
        <v>22</v>
      </c>
      <c r="C181" s="6" t="n">
        <v>1</v>
      </c>
      <c r="D181" s="6" t="s">
        <v>42</v>
      </c>
      <c r="E181" s="6" t="s">
        <v>49</v>
      </c>
      <c r="F181" s="6"/>
      <c r="G181" s="6" t="s">
        <v>499</v>
      </c>
      <c r="H181" s="6" t="s">
        <v>49</v>
      </c>
      <c r="I181" s="6" t="s">
        <v>111</v>
      </c>
      <c r="J181" s="7" t="s">
        <v>500</v>
      </c>
    </row>
    <row r="182" customFormat="false" ht="15" hidden="false" customHeight="false" outlineLevel="0" collapsed="false">
      <c r="A182" s="6" t="s">
        <v>459</v>
      </c>
      <c r="B182" s="6" t="n">
        <v>23</v>
      </c>
      <c r="C182" s="6" t="n">
        <v>1</v>
      </c>
      <c r="D182" s="6" t="s">
        <v>42</v>
      </c>
      <c r="E182" s="6" t="s">
        <v>501</v>
      </c>
      <c r="F182" s="6"/>
      <c r="G182" s="6" t="s">
        <v>502</v>
      </c>
      <c r="H182" s="6" t="s">
        <v>503</v>
      </c>
      <c r="I182" s="6" t="s">
        <v>504</v>
      </c>
      <c r="J182" s="7" t="s">
        <v>505</v>
      </c>
    </row>
    <row r="183" customFormat="false" ht="15" hidden="false" customHeight="false" outlineLevel="0" collapsed="false">
      <c r="A183" s="6" t="s">
        <v>459</v>
      </c>
      <c r="B183" s="6" t="n">
        <v>24</v>
      </c>
      <c r="C183" s="6" t="n">
        <v>1</v>
      </c>
      <c r="D183" s="6" t="s">
        <v>42</v>
      </c>
      <c r="E183" s="6" t="s">
        <v>49</v>
      </c>
      <c r="F183" s="6"/>
      <c r="G183" s="6" t="s">
        <v>506</v>
      </c>
      <c r="H183" s="6" t="s">
        <v>49</v>
      </c>
      <c r="I183" s="6" t="s">
        <v>204</v>
      </c>
      <c r="J183" s="7" t="s">
        <v>507</v>
      </c>
    </row>
    <row r="184" customFormat="false" ht="15" hidden="false" customHeight="false" outlineLevel="0" collapsed="false">
      <c r="A184" s="6" t="s">
        <v>459</v>
      </c>
      <c r="B184" s="6" t="n">
        <v>25</v>
      </c>
      <c r="C184" s="6" t="n">
        <v>1</v>
      </c>
      <c r="D184" s="6" t="s">
        <v>42</v>
      </c>
      <c r="E184" s="6" t="s">
        <v>49</v>
      </c>
      <c r="F184" s="6"/>
      <c r="G184" s="6" t="s">
        <v>508</v>
      </c>
      <c r="H184" s="6" t="s">
        <v>49</v>
      </c>
      <c r="I184" s="6" t="s">
        <v>319</v>
      </c>
      <c r="J184" s="7" t="s">
        <v>509</v>
      </c>
    </row>
    <row r="185" customFormat="false" ht="15" hidden="false" customHeight="false" outlineLevel="0" collapsed="false">
      <c r="A185" s="6" t="s">
        <v>459</v>
      </c>
      <c r="B185" s="6" t="n">
        <v>27</v>
      </c>
      <c r="C185" s="6" t="n">
        <v>1</v>
      </c>
      <c r="D185" s="6" t="s">
        <v>42</v>
      </c>
      <c r="E185" s="6" t="s">
        <v>49</v>
      </c>
      <c r="F185" s="6"/>
      <c r="G185" s="6" t="s">
        <v>510</v>
      </c>
      <c r="H185" s="6" t="s">
        <v>49</v>
      </c>
      <c r="I185" s="6" t="s">
        <v>297</v>
      </c>
      <c r="J185" s="7" t="s">
        <v>511</v>
      </c>
    </row>
    <row r="186" customFormat="false" ht="15" hidden="false" customHeight="false" outlineLevel="0" collapsed="false">
      <c r="A186" s="6" t="s">
        <v>459</v>
      </c>
      <c r="B186" s="6" t="n">
        <v>3</v>
      </c>
      <c r="C186" s="6" t="n">
        <v>2</v>
      </c>
      <c r="D186" s="6" t="s">
        <v>32</v>
      </c>
      <c r="E186" s="6" t="s">
        <v>49</v>
      </c>
      <c r="F186" s="6"/>
      <c r="G186" s="6" t="s">
        <v>512</v>
      </c>
      <c r="H186" s="6" t="s">
        <v>49</v>
      </c>
      <c r="I186" s="6" t="s">
        <v>181</v>
      </c>
      <c r="J186" s="7" t="s">
        <v>513</v>
      </c>
    </row>
    <row r="187" customFormat="false" ht="15" hidden="false" customHeight="false" outlineLevel="0" collapsed="false">
      <c r="A187" s="6" t="s">
        <v>459</v>
      </c>
      <c r="B187" s="6" t="n">
        <v>4</v>
      </c>
      <c r="C187" s="6" t="n">
        <v>2</v>
      </c>
      <c r="D187" s="6" t="s">
        <v>32</v>
      </c>
      <c r="E187" s="6" t="s">
        <v>49</v>
      </c>
      <c r="F187" s="6"/>
      <c r="G187" s="6" t="s">
        <v>514</v>
      </c>
      <c r="H187" s="6" t="s">
        <v>49</v>
      </c>
      <c r="I187" s="6" t="s">
        <v>87</v>
      </c>
      <c r="J187" s="7" t="s">
        <v>515</v>
      </c>
    </row>
    <row r="188" customFormat="false" ht="15" hidden="false" customHeight="false" outlineLevel="0" collapsed="false">
      <c r="A188" s="6" t="s">
        <v>459</v>
      </c>
      <c r="B188" s="6" t="n">
        <v>6</v>
      </c>
      <c r="C188" s="6" t="n">
        <v>2</v>
      </c>
      <c r="D188" s="6" t="s">
        <v>42</v>
      </c>
      <c r="E188" s="6" t="s">
        <v>516</v>
      </c>
      <c r="F188" s="6"/>
      <c r="G188" s="6" t="s">
        <v>517</v>
      </c>
      <c r="H188" s="6" t="s">
        <v>518</v>
      </c>
      <c r="I188" s="6" t="s">
        <v>519</v>
      </c>
      <c r="J188" s="7" t="s">
        <v>520</v>
      </c>
    </row>
    <row r="189" customFormat="false" ht="15" hidden="false" customHeight="false" outlineLevel="0" collapsed="false">
      <c r="A189" s="6" t="s">
        <v>459</v>
      </c>
      <c r="B189" s="6" t="n">
        <v>7</v>
      </c>
      <c r="C189" s="6" t="n">
        <v>2</v>
      </c>
      <c r="D189" s="6" t="s">
        <v>42</v>
      </c>
      <c r="E189" s="6" t="s">
        <v>521</v>
      </c>
      <c r="F189" s="6"/>
      <c r="G189" s="6" t="s">
        <v>522</v>
      </c>
      <c r="H189" s="6" t="s">
        <v>523</v>
      </c>
      <c r="I189" s="6" t="s">
        <v>524</v>
      </c>
      <c r="J189" s="7" t="s">
        <v>525</v>
      </c>
    </row>
    <row r="190" customFormat="false" ht="15" hidden="false" customHeight="false" outlineLevel="0" collapsed="false">
      <c r="A190" s="6" t="s">
        <v>459</v>
      </c>
      <c r="B190" s="6" t="n">
        <v>8</v>
      </c>
      <c r="C190" s="6" t="n">
        <v>2</v>
      </c>
      <c r="D190" s="6" t="s">
        <v>42</v>
      </c>
      <c r="E190" s="6" t="s">
        <v>516</v>
      </c>
      <c r="F190" s="6"/>
      <c r="G190" s="6" t="s">
        <v>526</v>
      </c>
      <c r="H190" s="6" t="s">
        <v>518</v>
      </c>
      <c r="I190" s="6" t="s">
        <v>229</v>
      </c>
      <c r="J190" s="7" t="s">
        <v>527</v>
      </c>
    </row>
    <row r="191" customFormat="false" ht="15" hidden="false" customHeight="false" outlineLevel="0" collapsed="false">
      <c r="A191" s="6" t="s">
        <v>459</v>
      </c>
      <c r="B191" s="6" t="n">
        <v>10</v>
      </c>
      <c r="C191" s="6" t="n">
        <v>2</v>
      </c>
      <c r="D191" s="6" t="s">
        <v>42</v>
      </c>
      <c r="E191" s="6" t="s">
        <v>49</v>
      </c>
      <c r="F191" s="6" t="s">
        <v>459</v>
      </c>
      <c r="G191" s="6" t="s">
        <v>528</v>
      </c>
      <c r="H191" s="6" t="s">
        <v>529</v>
      </c>
      <c r="I191" s="6" t="s">
        <v>332</v>
      </c>
      <c r="J191" s="7" t="s">
        <v>530</v>
      </c>
    </row>
    <row r="192" customFormat="false" ht="15" hidden="false" customHeight="false" outlineLevel="0" collapsed="false">
      <c r="A192" s="6" t="s">
        <v>459</v>
      </c>
      <c r="B192" s="6" t="n">
        <v>11</v>
      </c>
      <c r="C192" s="6" t="n">
        <v>2</v>
      </c>
      <c r="D192" s="6" t="s">
        <v>42</v>
      </c>
      <c r="E192" s="6" t="s">
        <v>49</v>
      </c>
      <c r="F192" s="6" t="s">
        <v>459</v>
      </c>
      <c r="G192" s="6" t="s">
        <v>531</v>
      </c>
      <c r="H192" s="6" t="s">
        <v>532</v>
      </c>
      <c r="I192" s="6" t="s">
        <v>504</v>
      </c>
      <c r="J192" s="7" t="s">
        <v>533</v>
      </c>
    </row>
    <row r="193" customFormat="false" ht="15" hidden="false" customHeight="false" outlineLevel="0" collapsed="false">
      <c r="A193" s="6" t="s">
        <v>459</v>
      </c>
      <c r="B193" s="6" t="n">
        <v>12</v>
      </c>
      <c r="C193" s="6" t="n">
        <v>2</v>
      </c>
      <c r="D193" s="6" t="s">
        <v>42</v>
      </c>
      <c r="E193" s="6" t="s">
        <v>49</v>
      </c>
      <c r="F193" s="6" t="s">
        <v>459</v>
      </c>
      <c r="G193" s="6" t="s">
        <v>534</v>
      </c>
      <c r="H193" s="6" t="s">
        <v>535</v>
      </c>
      <c r="I193" s="6" t="s">
        <v>487</v>
      </c>
      <c r="J193" s="7" t="s">
        <v>536</v>
      </c>
    </row>
    <row r="194" customFormat="false" ht="15" hidden="false" customHeight="false" outlineLevel="0" collapsed="false">
      <c r="A194" s="6" t="s">
        <v>459</v>
      </c>
      <c r="B194" s="6" t="n">
        <v>13</v>
      </c>
      <c r="C194" s="6" t="n">
        <v>2</v>
      </c>
      <c r="D194" s="6" t="s">
        <v>42</v>
      </c>
      <c r="E194" s="6" t="s">
        <v>537</v>
      </c>
      <c r="F194" s="6"/>
      <c r="G194" s="6" t="s">
        <v>538</v>
      </c>
      <c r="H194" s="6" t="s">
        <v>539</v>
      </c>
      <c r="I194" s="6" t="s">
        <v>540</v>
      </c>
      <c r="J194" s="7" t="s">
        <v>541</v>
      </c>
    </row>
    <row r="195" customFormat="false" ht="15" hidden="false" customHeight="false" outlineLevel="0" collapsed="false">
      <c r="A195" s="6" t="s">
        <v>459</v>
      </c>
      <c r="B195" s="6" t="n">
        <v>14</v>
      </c>
      <c r="C195" s="6" t="n">
        <v>2</v>
      </c>
      <c r="D195" s="6" t="s">
        <v>42</v>
      </c>
      <c r="E195" s="6" t="s">
        <v>49</v>
      </c>
      <c r="F195" s="6" t="s">
        <v>459</v>
      </c>
      <c r="G195" s="6" t="s">
        <v>542</v>
      </c>
      <c r="H195" s="6" t="s">
        <v>543</v>
      </c>
      <c r="I195" s="6" t="s">
        <v>216</v>
      </c>
      <c r="J195" s="7" t="s">
        <v>544</v>
      </c>
    </row>
    <row r="196" customFormat="false" ht="15" hidden="false" customHeight="false" outlineLevel="0" collapsed="false">
      <c r="A196" s="6" t="s">
        <v>459</v>
      </c>
      <c r="B196" s="6" t="n">
        <v>15</v>
      </c>
      <c r="C196" s="6" t="n">
        <v>2</v>
      </c>
      <c r="D196" s="6" t="s">
        <v>42</v>
      </c>
      <c r="E196" s="6" t="s">
        <v>76</v>
      </c>
      <c r="F196" s="6"/>
      <c r="G196" s="6" t="s">
        <v>545</v>
      </c>
      <c r="H196" s="6" t="s">
        <v>78</v>
      </c>
      <c r="I196" s="6" t="s">
        <v>332</v>
      </c>
      <c r="J196" s="7" t="s">
        <v>546</v>
      </c>
    </row>
    <row r="197" customFormat="false" ht="15" hidden="false" customHeight="false" outlineLevel="0" collapsed="false">
      <c r="A197" s="6" t="s">
        <v>459</v>
      </c>
      <c r="B197" s="6" t="n">
        <v>16</v>
      </c>
      <c r="C197" s="6" t="n">
        <v>2</v>
      </c>
      <c r="D197" s="6" t="s">
        <v>42</v>
      </c>
      <c r="E197" s="6" t="s">
        <v>489</v>
      </c>
      <c r="F197" s="6"/>
      <c r="G197" s="6" t="s">
        <v>547</v>
      </c>
      <c r="H197" s="6" t="s">
        <v>491</v>
      </c>
      <c r="I197" s="6" t="s">
        <v>548</v>
      </c>
      <c r="J197" s="7" t="s">
        <v>549</v>
      </c>
    </row>
    <row r="198" customFormat="false" ht="15" hidden="false" customHeight="false" outlineLevel="0" collapsed="false">
      <c r="A198" s="6" t="s">
        <v>459</v>
      </c>
      <c r="B198" s="6" t="n">
        <v>17</v>
      </c>
      <c r="C198" s="6" t="n">
        <v>2</v>
      </c>
      <c r="D198" s="6" t="s">
        <v>42</v>
      </c>
      <c r="E198" s="6" t="s">
        <v>49</v>
      </c>
      <c r="F198" s="6" t="s">
        <v>459</v>
      </c>
      <c r="G198" s="6" t="s">
        <v>550</v>
      </c>
      <c r="H198" s="6" t="s">
        <v>551</v>
      </c>
      <c r="I198" s="6" t="s">
        <v>339</v>
      </c>
      <c r="J198" s="7" t="s">
        <v>552</v>
      </c>
    </row>
    <row r="199" customFormat="false" ht="15" hidden="false" customHeight="false" outlineLevel="0" collapsed="false">
      <c r="A199" s="6" t="s">
        <v>459</v>
      </c>
      <c r="B199" s="6" t="n">
        <v>18</v>
      </c>
      <c r="C199" s="6" t="n">
        <v>2</v>
      </c>
      <c r="D199" s="6" t="s">
        <v>42</v>
      </c>
      <c r="E199" s="6" t="s">
        <v>349</v>
      </c>
      <c r="F199" s="6"/>
      <c r="G199" s="6" t="s">
        <v>553</v>
      </c>
      <c r="H199" s="6" t="s">
        <v>351</v>
      </c>
      <c r="I199" s="6" t="s">
        <v>554</v>
      </c>
      <c r="J199" s="7" t="s">
        <v>555</v>
      </c>
    </row>
    <row r="200" customFormat="false" ht="15" hidden="false" customHeight="false" outlineLevel="0" collapsed="false">
      <c r="A200" s="6" t="s">
        <v>459</v>
      </c>
      <c r="B200" s="6" t="n">
        <v>19</v>
      </c>
      <c r="C200" s="6" t="n">
        <v>2</v>
      </c>
      <c r="D200" s="6" t="s">
        <v>42</v>
      </c>
      <c r="E200" s="6" t="s">
        <v>49</v>
      </c>
      <c r="F200" s="6" t="s">
        <v>459</v>
      </c>
      <c r="G200" s="6" t="s">
        <v>556</v>
      </c>
      <c r="H200" s="6" t="s">
        <v>557</v>
      </c>
      <c r="I200" s="6" t="s">
        <v>332</v>
      </c>
      <c r="J200" s="7" t="s">
        <v>558</v>
      </c>
    </row>
    <row r="201" customFormat="false" ht="15" hidden="false" customHeight="false" outlineLevel="0" collapsed="false">
      <c r="A201" s="6" t="s">
        <v>459</v>
      </c>
      <c r="B201" s="6" t="n">
        <v>20</v>
      </c>
      <c r="C201" s="6" t="n">
        <v>2</v>
      </c>
      <c r="D201" s="6" t="s">
        <v>42</v>
      </c>
      <c r="E201" s="6" t="s">
        <v>49</v>
      </c>
      <c r="F201" s="6" t="s">
        <v>459</v>
      </c>
      <c r="G201" s="6" t="s">
        <v>559</v>
      </c>
      <c r="H201" s="6" t="s">
        <v>560</v>
      </c>
      <c r="I201" s="6" t="s">
        <v>561</v>
      </c>
      <c r="J201" s="7" t="s">
        <v>562</v>
      </c>
    </row>
    <row r="202" customFormat="false" ht="15" hidden="false" customHeight="false" outlineLevel="0" collapsed="false">
      <c r="A202" s="6" t="s">
        <v>459</v>
      </c>
      <c r="B202" s="6" t="n">
        <v>21</v>
      </c>
      <c r="C202" s="6" t="n">
        <v>2</v>
      </c>
      <c r="D202" s="6" t="s">
        <v>42</v>
      </c>
      <c r="E202" s="6" t="s">
        <v>344</v>
      </c>
      <c r="F202" s="6"/>
      <c r="G202" s="6" t="s">
        <v>563</v>
      </c>
      <c r="H202" s="6" t="s">
        <v>346</v>
      </c>
      <c r="I202" s="6" t="s">
        <v>347</v>
      </c>
      <c r="J202" s="7" t="s">
        <v>564</v>
      </c>
    </row>
    <row r="203" customFormat="false" ht="15" hidden="false" customHeight="false" outlineLevel="0" collapsed="false">
      <c r="A203" s="6" t="s">
        <v>459</v>
      </c>
      <c r="B203" s="6" t="n">
        <v>22</v>
      </c>
      <c r="C203" s="6" t="n">
        <v>2</v>
      </c>
      <c r="D203" s="6" t="s">
        <v>42</v>
      </c>
      <c r="E203" s="6" t="s">
        <v>489</v>
      </c>
      <c r="F203" s="6"/>
      <c r="G203" s="6" t="s">
        <v>565</v>
      </c>
      <c r="H203" s="6" t="s">
        <v>491</v>
      </c>
      <c r="I203" s="6" t="s">
        <v>566</v>
      </c>
      <c r="J203" s="7" t="s">
        <v>567</v>
      </c>
    </row>
    <row r="204" customFormat="false" ht="15" hidden="false" customHeight="false" outlineLevel="0" collapsed="false">
      <c r="A204" s="6" t="s">
        <v>568</v>
      </c>
      <c r="B204" s="6" t="n">
        <v>2</v>
      </c>
      <c r="C204" s="6" t="n">
        <v>1</v>
      </c>
      <c r="D204" s="6" t="s">
        <v>32</v>
      </c>
      <c r="E204" s="6" t="s">
        <v>49</v>
      </c>
      <c r="F204" s="6"/>
      <c r="G204" s="6" t="s">
        <v>569</v>
      </c>
      <c r="H204" s="6" t="s">
        <v>49</v>
      </c>
      <c r="I204" s="6" t="s">
        <v>101</v>
      </c>
      <c r="J204" s="7" t="s">
        <v>570</v>
      </c>
    </row>
    <row r="205" customFormat="false" ht="15" hidden="false" customHeight="false" outlineLevel="0" collapsed="false">
      <c r="A205" s="6" t="s">
        <v>568</v>
      </c>
      <c r="B205" s="6" t="n">
        <v>3</v>
      </c>
      <c r="C205" s="6" t="n">
        <v>1</v>
      </c>
      <c r="D205" s="6" t="s">
        <v>32</v>
      </c>
      <c r="E205" s="6" t="s">
        <v>49</v>
      </c>
      <c r="F205" s="6"/>
      <c r="G205" s="6" t="s">
        <v>571</v>
      </c>
      <c r="H205" s="6" t="s">
        <v>49</v>
      </c>
      <c r="I205" s="6" t="s">
        <v>297</v>
      </c>
      <c r="J205" s="7" t="s">
        <v>572</v>
      </c>
    </row>
    <row r="206" customFormat="false" ht="15" hidden="false" customHeight="false" outlineLevel="0" collapsed="false">
      <c r="A206" s="6" t="s">
        <v>568</v>
      </c>
      <c r="B206" s="6" t="n">
        <v>4</v>
      </c>
      <c r="C206" s="6" t="n">
        <v>1</v>
      </c>
      <c r="D206" s="6" t="s">
        <v>42</v>
      </c>
      <c r="E206" s="6" t="s">
        <v>49</v>
      </c>
      <c r="F206" s="6"/>
      <c r="G206" s="6" t="s">
        <v>573</v>
      </c>
      <c r="H206" s="6" t="s">
        <v>49</v>
      </c>
      <c r="I206" s="6" t="s">
        <v>101</v>
      </c>
      <c r="J206" s="7" t="s">
        <v>574</v>
      </c>
    </row>
    <row r="207" customFormat="false" ht="15" hidden="false" customHeight="false" outlineLevel="0" collapsed="false">
      <c r="A207" s="6" t="s">
        <v>568</v>
      </c>
      <c r="B207" s="6" t="n">
        <v>5</v>
      </c>
      <c r="C207" s="6" t="n">
        <v>1</v>
      </c>
      <c r="D207" s="6" t="s">
        <v>42</v>
      </c>
      <c r="E207" s="6" t="s">
        <v>49</v>
      </c>
      <c r="F207" s="6"/>
      <c r="G207" s="6" t="s">
        <v>575</v>
      </c>
      <c r="H207" s="6" t="s">
        <v>49</v>
      </c>
      <c r="I207" s="6" t="s">
        <v>101</v>
      </c>
      <c r="J207" s="7" t="s">
        <v>576</v>
      </c>
    </row>
    <row r="208" customFormat="false" ht="15" hidden="false" customHeight="false" outlineLevel="0" collapsed="false">
      <c r="A208" s="6" t="s">
        <v>568</v>
      </c>
      <c r="B208" s="6" t="n">
        <v>6</v>
      </c>
      <c r="C208" s="6" t="n">
        <v>1</v>
      </c>
      <c r="D208" s="6" t="s">
        <v>32</v>
      </c>
      <c r="E208" s="6" t="s">
        <v>49</v>
      </c>
      <c r="F208" s="6"/>
      <c r="G208" s="6" t="s">
        <v>470</v>
      </c>
      <c r="H208" s="6" t="s">
        <v>49</v>
      </c>
      <c r="I208" s="6" t="s">
        <v>294</v>
      </c>
      <c r="J208" s="7" t="s">
        <v>471</v>
      </c>
    </row>
    <row r="209" customFormat="false" ht="15" hidden="false" customHeight="false" outlineLevel="0" collapsed="false">
      <c r="A209" s="6" t="s">
        <v>568</v>
      </c>
      <c r="B209" s="6" t="n">
        <v>7</v>
      </c>
      <c r="C209" s="6" t="n">
        <v>1</v>
      </c>
      <c r="D209" s="6" t="s">
        <v>32</v>
      </c>
      <c r="E209" s="6" t="s">
        <v>49</v>
      </c>
      <c r="F209" s="6"/>
      <c r="G209" s="6" t="s">
        <v>479</v>
      </c>
      <c r="H209" s="6" t="s">
        <v>49</v>
      </c>
      <c r="I209" s="6" t="s">
        <v>294</v>
      </c>
      <c r="J209" s="7" t="s">
        <v>480</v>
      </c>
    </row>
    <row r="210" customFormat="false" ht="15" hidden="false" customHeight="false" outlineLevel="0" collapsed="false">
      <c r="A210" s="6" t="s">
        <v>568</v>
      </c>
      <c r="B210" s="6" t="n">
        <v>8</v>
      </c>
      <c r="C210" s="6" t="n">
        <v>1</v>
      </c>
      <c r="D210" s="6" t="s">
        <v>42</v>
      </c>
      <c r="E210" s="6" t="s">
        <v>49</v>
      </c>
      <c r="F210" s="6"/>
      <c r="G210" s="6" t="s">
        <v>577</v>
      </c>
      <c r="H210" s="6" t="s">
        <v>49</v>
      </c>
      <c r="I210" s="6" t="s">
        <v>61</v>
      </c>
      <c r="J210" s="7" t="s">
        <v>578</v>
      </c>
    </row>
    <row r="211" customFormat="false" ht="15" hidden="false" customHeight="false" outlineLevel="0" collapsed="false">
      <c r="A211" s="6" t="s">
        <v>568</v>
      </c>
      <c r="B211" s="6" t="n">
        <v>9</v>
      </c>
      <c r="C211" s="6" t="n">
        <v>1</v>
      </c>
      <c r="D211" s="6" t="s">
        <v>42</v>
      </c>
      <c r="E211" s="6" t="s">
        <v>305</v>
      </c>
      <c r="F211" s="6"/>
      <c r="G211" s="6" t="s">
        <v>394</v>
      </c>
      <c r="H211" s="6" t="s">
        <v>307</v>
      </c>
      <c r="I211" s="6" t="s">
        <v>395</v>
      </c>
      <c r="J211" s="7" t="s">
        <v>579</v>
      </c>
    </row>
    <row r="212" customFormat="false" ht="15" hidden="false" customHeight="false" outlineLevel="0" collapsed="false">
      <c r="A212" s="6" t="s">
        <v>568</v>
      </c>
      <c r="B212" s="6" t="n">
        <v>10</v>
      </c>
      <c r="C212" s="6" t="n">
        <v>1</v>
      </c>
      <c r="D212" s="6" t="s">
        <v>32</v>
      </c>
      <c r="E212" s="6" t="s">
        <v>49</v>
      </c>
      <c r="F212" s="6"/>
      <c r="G212" s="6" t="s">
        <v>460</v>
      </c>
      <c r="H212" s="6" t="s">
        <v>461</v>
      </c>
      <c r="I212" s="6" t="s">
        <v>462</v>
      </c>
      <c r="J212" s="7" t="s">
        <v>463</v>
      </c>
    </row>
    <row r="213" customFormat="false" ht="15" hidden="false" customHeight="false" outlineLevel="0" collapsed="false">
      <c r="A213" s="6" t="s">
        <v>568</v>
      </c>
      <c r="B213" s="6" t="n">
        <v>11</v>
      </c>
      <c r="C213" s="6" t="n">
        <v>1</v>
      </c>
      <c r="D213" s="6" t="s">
        <v>32</v>
      </c>
      <c r="E213" s="6" t="s">
        <v>49</v>
      </c>
      <c r="F213" s="6"/>
      <c r="G213" s="6" t="s">
        <v>447</v>
      </c>
      <c r="H213" s="6" t="s">
        <v>49</v>
      </c>
      <c r="I213" s="6" t="s">
        <v>44</v>
      </c>
      <c r="J213" s="7" t="s">
        <v>580</v>
      </c>
    </row>
    <row r="214" customFormat="false" ht="15" hidden="false" customHeight="false" outlineLevel="0" collapsed="false">
      <c r="A214" s="6" t="s">
        <v>568</v>
      </c>
      <c r="B214" s="6" t="n">
        <v>12</v>
      </c>
      <c r="C214" s="6" t="n">
        <v>1</v>
      </c>
      <c r="D214" s="6" t="s">
        <v>42</v>
      </c>
      <c r="E214" s="6" t="s">
        <v>305</v>
      </c>
      <c r="F214" s="6"/>
      <c r="G214" s="6" t="s">
        <v>581</v>
      </c>
      <c r="H214" s="6" t="s">
        <v>307</v>
      </c>
      <c r="I214" s="6" t="s">
        <v>395</v>
      </c>
      <c r="J214" s="7" t="s">
        <v>582</v>
      </c>
    </row>
    <row r="215" customFormat="false" ht="15" hidden="false" customHeight="false" outlineLevel="0" collapsed="false">
      <c r="A215" s="6" t="s">
        <v>568</v>
      </c>
      <c r="B215" s="6" t="n">
        <v>13</v>
      </c>
      <c r="C215" s="6" t="n">
        <v>1</v>
      </c>
      <c r="D215" s="6" t="s">
        <v>42</v>
      </c>
      <c r="E215" s="6" t="s">
        <v>583</v>
      </c>
      <c r="F215" s="6"/>
      <c r="G215" s="6" t="s">
        <v>584</v>
      </c>
      <c r="H215" s="6" t="s">
        <v>585</v>
      </c>
      <c r="I215" s="6" t="s">
        <v>561</v>
      </c>
      <c r="J215" s="7" t="s">
        <v>586</v>
      </c>
    </row>
    <row r="216" customFormat="false" ht="15" hidden="false" customHeight="false" outlineLevel="0" collapsed="false">
      <c r="A216" s="6" t="s">
        <v>568</v>
      </c>
      <c r="B216" s="6" t="n">
        <v>14</v>
      </c>
      <c r="C216" s="6" t="n">
        <v>1</v>
      </c>
      <c r="D216" s="6" t="s">
        <v>42</v>
      </c>
      <c r="E216" s="6" t="s">
        <v>516</v>
      </c>
      <c r="F216" s="6"/>
      <c r="G216" s="6" t="s">
        <v>587</v>
      </c>
      <c r="H216" s="6" t="s">
        <v>518</v>
      </c>
      <c r="I216" s="6" t="s">
        <v>548</v>
      </c>
      <c r="J216" s="7" t="s">
        <v>588</v>
      </c>
    </row>
    <row r="217" customFormat="false" ht="15" hidden="false" customHeight="false" outlineLevel="0" collapsed="false">
      <c r="A217" s="6" t="s">
        <v>568</v>
      </c>
      <c r="B217" s="6" t="n">
        <v>18</v>
      </c>
      <c r="C217" s="6" t="n">
        <v>1</v>
      </c>
      <c r="D217" s="6" t="s">
        <v>42</v>
      </c>
      <c r="E217" s="6" t="s">
        <v>516</v>
      </c>
      <c r="F217" s="6"/>
      <c r="G217" s="6" t="s">
        <v>589</v>
      </c>
      <c r="H217" s="6" t="s">
        <v>518</v>
      </c>
      <c r="I217" s="6" t="s">
        <v>554</v>
      </c>
      <c r="J217" s="7" t="s">
        <v>590</v>
      </c>
    </row>
    <row r="218" customFormat="false" ht="15" hidden="false" customHeight="false" outlineLevel="0" collapsed="false">
      <c r="A218" s="6" t="s">
        <v>568</v>
      </c>
      <c r="B218" s="6" t="n">
        <v>20</v>
      </c>
      <c r="C218" s="6" t="n">
        <v>1</v>
      </c>
      <c r="D218" s="6" t="s">
        <v>42</v>
      </c>
      <c r="E218" s="6" t="s">
        <v>49</v>
      </c>
      <c r="F218" s="6"/>
      <c r="G218" s="6" t="s">
        <v>591</v>
      </c>
      <c r="H218" s="6" t="s">
        <v>49</v>
      </c>
      <c r="I218" s="6" t="s">
        <v>44</v>
      </c>
      <c r="J218" s="7" t="s">
        <v>592</v>
      </c>
    </row>
    <row r="219" customFormat="false" ht="15" hidden="false" customHeight="false" outlineLevel="0" collapsed="false">
      <c r="A219" s="6" t="s">
        <v>568</v>
      </c>
      <c r="B219" s="6" t="n">
        <v>21</v>
      </c>
      <c r="C219" s="6" t="n">
        <v>1</v>
      </c>
      <c r="D219" s="6" t="s">
        <v>42</v>
      </c>
      <c r="E219" s="6" t="s">
        <v>593</v>
      </c>
      <c r="F219" s="6"/>
      <c r="G219" s="6" t="s">
        <v>594</v>
      </c>
      <c r="H219" s="6" t="s">
        <v>595</v>
      </c>
      <c r="I219" s="6" t="s">
        <v>101</v>
      </c>
      <c r="J219" s="7" t="s">
        <v>596</v>
      </c>
    </row>
    <row r="220" customFormat="false" ht="15" hidden="false" customHeight="false" outlineLevel="0" collapsed="false">
      <c r="A220" s="6" t="s">
        <v>568</v>
      </c>
      <c r="B220" s="6" t="n">
        <v>22</v>
      </c>
      <c r="C220" s="6" t="n">
        <v>1</v>
      </c>
      <c r="D220" s="6" t="s">
        <v>42</v>
      </c>
      <c r="E220" s="6" t="s">
        <v>49</v>
      </c>
      <c r="F220" s="6"/>
      <c r="G220" s="6" t="s">
        <v>597</v>
      </c>
      <c r="H220" s="6" t="s">
        <v>49</v>
      </c>
      <c r="I220" s="6"/>
      <c r="J220" s="7" t="s">
        <v>598</v>
      </c>
    </row>
    <row r="221" customFormat="false" ht="15" hidden="false" customHeight="false" outlineLevel="0" collapsed="false">
      <c r="A221" s="6" t="s">
        <v>568</v>
      </c>
      <c r="B221" s="6" t="n">
        <v>23</v>
      </c>
      <c r="C221" s="6" t="n">
        <v>1</v>
      </c>
      <c r="D221" s="6" t="s">
        <v>42</v>
      </c>
      <c r="E221" s="6" t="s">
        <v>49</v>
      </c>
      <c r="F221" s="6"/>
      <c r="G221" s="6" t="s">
        <v>457</v>
      </c>
      <c r="H221" s="6" t="s">
        <v>49</v>
      </c>
      <c r="I221" s="6" t="s">
        <v>51</v>
      </c>
      <c r="J221" s="7" t="s">
        <v>599</v>
      </c>
    </row>
    <row r="222" customFormat="false" ht="15" hidden="false" customHeight="false" outlineLevel="0" collapsed="false">
      <c r="A222" s="6" t="s">
        <v>568</v>
      </c>
      <c r="B222" s="6" t="n">
        <v>24</v>
      </c>
      <c r="C222" s="6" t="n">
        <v>1</v>
      </c>
      <c r="D222" s="6" t="s">
        <v>42</v>
      </c>
      <c r="E222" s="6" t="s">
        <v>600</v>
      </c>
      <c r="F222" s="6"/>
      <c r="G222" s="6" t="s">
        <v>601</v>
      </c>
      <c r="H222" s="6" t="s">
        <v>602</v>
      </c>
      <c r="I222" s="6" t="s">
        <v>339</v>
      </c>
      <c r="J222" s="7" t="s">
        <v>603</v>
      </c>
    </row>
    <row r="223" customFormat="false" ht="15" hidden="false" customHeight="false" outlineLevel="0" collapsed="false">
      <c r="A223" s="6" t="s">
        <v>568</v>
      </c>
      <c r="B223" s="6" t="n">
        <v>25</v>
      </c>
      <c r="C223" s="6" t="n">
        <v>1</v>
      </c>
      <c r="D223" s="6" t="s">
        <v>42</v>
      </c>
      <c r="E223" s="6" t="s">
        <v>49</v>
      </c>
      <c r="F223" s="6"/>
      <c r="G223" s="6" t="s">
        <v>604</v>
      </c>
      <c r="H223" s="6" t="s">
        <v>49</v>
      </c>
      <c r="I223" s="6" t="s">
        <v>605</v>
      </c>
      <c r="J223" s="7" t="s">
        <v>606</v>
      </c>
    </row>
    <row r="224" customFormat="false" ht="15" hidden="false" customHeight="false" outlineLevel="0" collapsed="false">
      <c r="A224" s="6" t="s">
        <v>568</v>
      </c>
      <c r="B224" s="6" t="n">
        <v>28</v>
      </c>
      <c r="C224" s="6" t="n">
        <v>1</v>
      </c>
      <c r="D224" s="6" t="s">
        <v>42</v>
      </c>
      <c r="E224" s="6" t="s">
        <v>49</v>
      </c>
      <c r="F224" s="6"/>
      <c r="G224" s="6" t="s">
        <v>607</v>
      </c>
      <c r="H224" s="6" t="s">
        <v>49</v>
      </c>
      <c r="I224" s="6" t="s">
        <v>319</v>
      </c>
      <c r="J224" s="7" t="s">
        <v>608</v>
      </c>
    </row>
    <row r="225" customFormat="false" ht="15" hidden="false" customHeight="false" outlineLevel="0" collapsed="false">
      <c r="A225" s="6" t="s">
        <v>568</v>
      </c>
      <c r="B225" s="6" t="n">
        <v>3</v>
      </c>
      <c r="C225" s="6" t="n">
        <v>2</v>
      </c>
      <c r="D225" s="6" t="s">
        <v>32</v>
      </c>
      <c r="E225" s="6" t="s">
        <v>273</v>
      </c>
      <c r="F225" s="6"/>
      <c r="G225" s="6" t="s">
        <v>274</v>
      </c>
      <c r="H225" s="6" t="s">
        <v>275</v>
      </c>
      <c r="I225" s="6" t="s">
        <v>40</v>
      </c>
      <c r="J225" s="7" t="s">
        <v>276</v>
      </c>
    </row>
    <row r="226" customFormat="false" ht="15" hidden="false" customHeight="false" outlineLevel="0" collapsed="false">
      <c r="A226" s="6" t="s">
        <v>568</v>
      </c>
      <c r="B226" s="6" t="n">
        <v>6</v>
      </c>
      <c r="C226" s="6" t="n">
        <v>2</v>
      </c>
      <c r="D226" s="6" t="s">
        <v>42</v>
      </c>
      <c r="E226" s="6" t="s">
        <v>49</v>
      </c>
      <c r="F226" s="6"/>
      <c r="G226" s="6" t="s">
        <v>609</v>
      </c>
      <c r="H226" s="6" t="s">
        <v>49</v>
      </c>
      <c r="I226" s="6" t="s">
        <v>610</v>
      </c>
      <c r="J226" s="7" t="s">
        <v>611</v>
      </c>
    </row>
    <row r="227" customFormat="false" ht="15" hidden="false" customHeight="false" outlineLevel="0" collapsed="false">
      <c r="A227" s="6" t="s">
        <v>568</v>
      </c>
      <c r="B227" s="6" t="n">
        <v>7</v>
      </c>
      <c r="C227" s="6" t="n">
        <v>2</v>
      </c>
      <c r="D227" s="6" t="s">
        <v>42</v>
      </c>
      <c r="E227" s="6" t="s">
        <v>516</v>
      </c>
      <c r="F227" s="6"/>
      <c r="G227" s="6" t="s">
        <v>612</v>
      </c>
      <c r="H227" s="6" t="s">
        <v>518</v>
      </c>
      <c r="I227" s="6" t="s">
        <v>613</v>
      </c>
      <c r="J227" s="7" t="s">
        <v>614</v>
      </c>
    </row>
    <row r="228" customFormat="false" ht="15" hidden="false" customHeight="false" outlineLevel="0" collapsed="false">
      <c r="A228" s="6" t="s">
        <v>568</v>
      </c>
      <c r="B228" s="6" t="n">
        <v>8</v>
      </c>
      <c r="C228" s="6" t="n">
        <v>2</v>
      </c>
      <c r="D228" s="6" t="s">
        <v>32</v>
      </c>
      <c r="E228" s="6" t="s">
        <v>273</v>
      </c>
      <c r="F228" s="6"/>
      <c r="G228" s="6" t="s">
        <v>615</v>
      </c>
      <c r="H228" s="6" t="s">
        <v>275</v>
      </c>
      <c r="I228" s="6" t="s">
        <v>104</v>
      </c>
      <c r="J228" s="7" t="s">
        <v>616</v>
      </c>
    </row>
    <row r="229" customFormat="false" ht="15" hidden="false" customHeight="false" outlineLevel="0" collapsed="false">
      <c r="A229" s="6" t="s">
        <v>568</v>
      </c>
      <c r="B229" s="6" t="n">
        <v>9</v>
      </c>
      <c r="C229" s="6" t="n">
        <v>2</v>
      </c>
      <c r="D229" s="6" t="s">
        <v>32</v>
      </c>
      <c r="E229" s="6" t="s">
        <v>273</v>
      </c>
      <c r="F229" s="6"/>
      <c r="G229" s="6" t="s">
        <v>617</v>
      </c>
      <c r="H229" s="6" t="s">
        <v>275</v>
      </c>
      <c r="I229" s="6" t="s">
        <v>64</v>
      </c>
      <c r="J229" s="7" t="s">
        <v>618</v>
      </c>
    </row>
    <row r="230" customFormat="false" ht="15" hidden="false" customHeight="false" outlineLevel="0" collapsed="false">
      <c r="A230" s="6" t="s">
        <v>568</v>
      </c>
      <c r="B230" s="6" t="n">
        <v>15</v>
      </c>
      <c r="C230" s="6" t="n">
        <v>2</v>
      </c>
      <c r="D230" s="6" t="s">
        <v>42</v>
      </c>
      <c r="E230" s="6" t="s">
        <v>371</v>
      </c>
      <c r="F230" s="6"/>
      <c r="G230" s="6" t="s">
        <v>619</v>
      </c>
      <c r="H230" s="6" t="s">
        <v>373</v>
      </c>
      <c r="I230" s="6" t="s">
        <v>620</v>
      </c>
      <c r="J230" s="7" t="s">
        <v>621</v>
      </c>
    </row>
    <row r="231" customFormat="false" ht="15" hidden="false" customHeight="false" outlineLevel="0" collapsed="false">
      <c r="A231" s="6" t="s">
        <v>568</v>
      </c>
      <c r="B231" s="6" t="n">
        <v>16</v>
      </c>
      <c r="C231" s="6" t="n">
        <v>2</v>
      </c>
      <c r="D231" s="6" t="s">
        <v>42</v>
      </c>
      <c r="E231" s="6" t="s">
        <v>49</v>
      </c>
      <c r="F231" s="6"/>
      <c r="G231" s="6" t="s">
        <v>468</v>
      </c>
      <c r="H231" s="6" t="s">
        <v>49</v>
      </c>
      <c r="I231" s="6" t="s">
        <v>178</v>
      </c>
      <c r="J231" s="7" t="s">
        <v>622</v>
      </c>
    </row>
    <row r="232" customFormat="false" ht="15" hidden="false" customHeight="false" outlineLevel="0" collapsed="false">
      <c r="A232" s="6" t="s">
        <v>568</v>
      </c>
      <c r="B232" s="6" t="n">
        <v>17</v>
      </c>
      <c r="C232" s="6" t="n">
        <v>2</v>
      </c>
      <c r="D232" s="6" t="s">
        <v>32</v>
      </c>
      <c r="E232" s="6" t="s">
        <v>623</v>
      </c>
      <c r="F232" s="6"/>
      <c r="G232" s="6" t="s">
        <v>624</v>
      </c>
      <c r="H232" s="6" t="s">
        <v>625</v>
      </c>
      <c r="I232" s="6" t="s">
        <v>626</v>
      </c>
      <c r="J232" s="7" t="s">
        <v>627</v>
      </c>
    </row>
    <row r="233" customFormat="false" ht="15" hidden="false" customHeight="false" outlineLevel="0" collapsed="false">
      <c r="A233" s="6" t="s">
        <v>568</v>
      </c>
      <c r="B233" s="6" t="n">
        <v>19</v>
      </c>
      <c r="C233" s="6" t="n">
        <v>2</v>
      </c>
      <c r="D233" s="6" t="s">
        <v>42</v>
      </c>
      <c r="E233" s="6" t="s">
        <v>49</v>
      </c>
      <c r="F233" s="6"/>
      <c r="G233" s="6" t="s">
        <v>303</v>
      </c>
      <c r="H233" s="6" t="s">
        <v>49</v>
      </c>
      <c r="I233" s="6" t="s">
        <v>297</v>
      </c>
      <c r="J233" s="7" t="s">
        <v>628</v>
      </c>
    </row>
    <row r="234" customFormat="false" ht="15" hidden="false" customHeight="false" outlineLevel="0" collapsed="false">
      <c r="A234" s="6" t="s">
        <v>568</v>
      </c>
      <c r="B234" s="6" t="n">
        <v>20</v>
      </c>
      <c r="C234" s="6" t="n">
        <v>2</v>
      </c>
      <c r="D234" s="6" t="s">
        <v>42</v>
      </c>
      <c r="E234" s="6" t="s">
        <v>371</v>
      </c>
      <c r="F234" s="6"/>
      <c r="G234" s="6" t="s">
        <v>629</v>
      </c>
      <c r="H234" s="6" t="s">
        <v>373</v>
      </c>
      <c r="I234" s="6" t="s">
        <v>630</v>
      </c>
      <c r="J234" s="7" t="s">
        <v>631</v>
      </c>
    </row>
    <row r="235" customFormat="false" ht="15" hidden="false" customHeight="false" outlineLevel="0" collapsed="false">
      <c r="A235" s="6" t="s">
        <v>568</v>
      </c>
      <c r="B235" s="6" t="n">
        <v>21</v>
      </c>
      <c r="C235" s="6" t="n">
        <v>2</v>
      </c>
      <c r="D235" s="6" t="s">
        <v>32</v>
      </c>
      <c r="E235" s="6" t="s">
        <v>305</v>
      </c>
      <c r="F235" s="6"/>
      <c r="G235" s="6" t="s">
        <v>632</v>
      </c>
      <c r="H235" s="6" t="s">
        <v>307</v>
      </c>
      <c r="I235" s="6" t="s">
        <v>178</v>
      </c>
      <c r="J235" s="7" t="s">
        <v>633</v>
      </c>
    </row>
    <row r="236" customFormat="false" ht="15" hidden="false" customHeight="false" outlineLevel="0" collapsed="false">
      <c r="A236" s="6" t="s">
        <v>568</v>
      </c>
      <c r="B236" s="6" t="n">
        <v>22</v>
      </c>
      <c r="C236" s="6" t="n">
        <v>2</v>
      </c>
      <c r="D236" s="6" t="s">
        <v>32</v>
      </c>
      <c r="E236" s="6" t="s">
        <v>305</v>
      </c>
      <c r="F236" s="6"/>
      <c r="G236" s="6" t="s">
        <v>634</v>
      </c>
      <c r="H236" s="6" t="s">
        <v>307</v>
      </c>
      <c r="I236" s="6" t="s">
        <v>440</v>
      </c>
      <c r="J236" s="7" t="s">
        <v>635</v>
      </c>
    </row>
    <row r="237" customFormat="false" ht="15" hidden="false" customHeight="false" outlineLevel="0" collapsed="false">
      <c r="A237" s="6" t="s">
        <v>568</v>
      </c>
      <c r="B237" s="6" t="n">
        <v>23</v>
      </c>
      <c r="C237" s="6" t="n">
        <v>2</v>
      </c>
      <c r="D237" s="6" t="s">
        <v>42</v>
      </c>
      <c r="E237" s="6" t="s">
        <v>49</v>
      </c>
      <c r="F237" s="6"/>
      <c r="G237" s="6" t="s">
        <v>636</v>
      </c>
      <c r="H237" s="6" t="s">
        <v>49</v>
      </c>
      <c r="I237" s="6" t="s">
        <v>637</v>
      </c>
      <c r="J237" s="7" t="s">
        <v>638</v>
      </c>
    </row>
    <row r="238" customFormat="false" ht="15" hidden="false" customHeight="false" outlineLevel="0" collapsed="false">
      <c r="A238" s="6" t="s">
        <v>568</v>
      </c>
      <c r="B238" s="6" t="n">
        <v>24</v>
      </c>
      <c r="C238" s="6" t="n">
        <v>2</v>
      </c>
      <c r="D238" s="6" t="s">
        <v>42</v>
      </c>
      <c r="E238" s="6" t="s">
        <v>49</v>
      </c>
      <c r="F238" s="6"/>
      <c r="G238" s="6" t="s">
        <v>639</v>
      </c>
      <c r="H238" s="6" t="s">
        <v>49</v>
      </c>
      <c r="I238" s="6"/>
      <c r="J238" s="7" t="s">
        <v>640</v>
      </c>
    </row>
    <row r="239" customFormat="false" ht="15" hidden="false" customHeight="false" outlineLevel="0" collapsed="false">
      <c r="A239" s="6" t="s">
        <v>568</v>
      </c>
      <c r="B239" s="6" t="n">
        <v>25</v>
      </c>
      <c r="C239" s="6" t="n">
        <v>2</v>
      </c>
      <c r="D239" s="6" t="s">
        <v>42</v>
      </c>
      <c r="E239" s="6" t="s">
        <v>49</v>
      </c>
      <c r="F239" s="6"/>
      <c r="G239" s="6" t="s">
        <v>641</v>
      </c>
      <c r="H239" s="6" t="s">
        <v>49</v>
      </c>
      <c r="I239" s="6" t="s">
        <v>111</v>
      </c>
      <c r="J239" s="7" t="s">
        <v>642</v>
      </c>
    </row>
    <row r="240" customFormat="false" ht="15" hidden="false" customHeight="false" outlineLevel="0" collapsed="false">
      <c r="A240" s="6" t="s">
        <v>568</v>
      </c>
      <c r="B240" s="6" t="n">
        <v>26</v>
      </c>
      <c r="C240" s="6" t="n">
        <v>2</v>
      </c>
      <c r="D240" s="6" t="s">
        <v>42</v>
      </c>
      <c r="E240" s="6" t="s">
        <v>643</v>
      </c>
      <c r="F240" s="6"/>
      <c r="G240" s="6" t="s">
        <v>644</v>
      </c>
      <c r="H240" s="6" t="s">
        <v>645</v>
      </c>
      <c r="I240" s="6" t="s">
        <v>519</v>
      </c>
      <c r="J240" s="7" t="s">
        <v>646</v>
      </c>
    </row>
    <row r="241" customFormat="false" ht="15" hidden="false" customHeight="false" outlineLevel="0" collapsed="false">
      <c r="A241" s="6" t="s">
        <v>568</v>
      </c>
      <c r="B241" s="6" t="n">
        <v>27</v>
      </c>
      <c r="C241" s="6" t="n">
        <v>2</v>
      </c>
      <c r="D241" s="6" t="s">
        <v>42</v>
      </c>
      <c r="E241" s="6" t="s">
        <v>643</v>
      </c>
      <c r="F241" s="6"/>
      <c r="G241" s="6" t="s">
        <v>647</v>
      </c>
      <c r="H241" s="6" t="s">
        <v>645</v>
      </c>
      <c r="I241" s="6" t="s">
        <v>648</v>
      </c>
      <c r="J241" s="7" t="s">
        <v>649</v>
      </c>
    </row>
    <row r="242" customFormat="false" ht="15" hidden="false" customHeight="false" outlineLevel="0" collapsed="false">
      <c r="A242" s="6" t="s">
        <v>568</v>
      </c>
      <c r="B242" s="6" t="n">
        <v>28</v>
      </c>
      <c r="C242" s="6" t="n">
        <v>2</v>
      </c>
      <c r="D242" s="6" t="s">
        <v>42</v>
      </c>
      <c r="E242" s="6" t="s">
        <v>371</v>
      </c>
      <c r="F242" s="6"/>
      <c r="G242" s="6" t="s">
        <v>650</v>
      </c>
      <c r="H242" s="6" t="s">
        <v>373</v>
      </c>
      <c r="I242" s="6" t="s">
        <v>651</v>
      </c>
      <c r="J242" s="7" t="s">
        <v>652</v>
      </c>
    </row>
    <row r="243" customFormat="false" ht="15" hidden="false" customHeight="false" outlineLevel="0" collapsed="false">
      <c r="A243" s="6" t="s">
        <v>568</v>
      </c>
      <c r="B243" s="6" t="n">
        <v>29</v>
      </c>
      <c r="C243" s="6" t="n">
        <v>2</v>
      </c>
      <c r="D243" s="6" t="s">
        <v>42</v>
      </c>
      <c r="E243" s="6" t="s">
        <v>49</v>
      </c>
      <c r="F243" s="6"/>
      <c r="G243" s="6" t="s">
        <v>653</v>
      </c>
      <c r="H243" s="6" t="s">
        <v>49</v>
      </c>
      <c r="I243" s="6" t="s">
        <v>319</v>
      </c>
      <c r="J243" s="7" t="s">
        <v>654</v>
      </c>
    </row>
    <row r="244" customFormat="false" ht="15" hidden="false" customHeight="false" outlineLevel="0" collapsed="false">
      <c r="A244" s="6" t="s">
        <v>568</v>
      </c>
      <c r="B244" s="6" t="n">
        <v>30</v>
      </c>
      <c r="C244" s="6" t="n">
        <v>2</v>
      </c>
      <c r="D244" s="6" t="s">
        <v>42</v>
      </c>
      <c r="E244" s="6" t="s">
        <v>49</v>
      </c>
      <c r="F244" s="6"/>
      <c r="G244" s="6" t="s">
        <v>655</v>
      </c>
      <c r="H244" s="6" t="s">
        <v>49</v>
      </c>
      <c r="I244" s="6" t="s">
        <v>87</v>
      </c>
      <c r="J244" s="7" t="s">
        <v>656</v>
      </c>
    </row>
    <row r="245" customFormat="false" ht="15" hidden="false" customHeight="false" outlineLevel="0" collapsed="false">
      <c r="A245" s="6" t="s">
        <v>568</v>
      </c>
      <c r="B245" s="6" t="n">
        <v>31</v>
      </c>
      <c r="C245" s="6" t="n">
        <v>2</v>
      </c>
      <c r="D245" s="6" t="s">
        <v>42</v>
      </c>
      <c r="E245" s="6" t="s">
        <v>516</v>
      </c>
      <c r="F245" s="6"/>
      <c r="G245" s="6" t="s">
        <v>657</v>
      </c>
      <c r="H245" s="6" t="s">
        <v>518</v>
      </c>
      <c r="I245" s="6" t="s">
        <v>658</v>
      </c>
      <c r="J245" s="7" t="s">
        <v>659</v>
      </c>
    </row>
    <row r="246" customFormat="false" ht="15" hidden="false" customHeight="false" outlineLevel="0" collapsed="false">
      <c r="A246" s="6" t="s">
        <v>568</v>
      </c>
      <c r="B246" s="6" t="n">
        <v>32</v>
      </c>
      <c r="C246" s="6" t="n">
        <v>2</v>
      </c>
      <c r="D246" s="6" t="s">
        <v>42</v>
      </c>
      <c r="E246" s="6" t="s">
        <v>660</v>
      </c>
      <c r="F246" s="6"/>
      <c r="G246" s="6" t="s">
        <v>661</v>
      </c>
      <c r="H246" s="6" t="s">
        <v>662</v>
      </c>
      <c r="I246" s="6" t="s">
        <v>663</v>
      </c>
      <c r="J246" s="7" t="s">
        <v>664</v>
      </c>
    </row>
    <row r="247" customFormat="false" ht="15" hidden="false" customHeight="false" outlineLevel="0" collapsed="false">
      <c r="A247" s="6" t="s">
        <v>665</v>
      </c>
      <c r="B247" s="6" t="n">
        <v>4</v>
      </c>
      <c r="C247" s="6" t="n">
        <v>1</v>
      </c>
      <c r="D247" s="6" t="s">
        <v>32</v>
      </c>
      <c r="E247" s="6" t="s">
        <v>49</v>
      </c>
      <c r="F247" s="6"/>
      <c r="G247" s="6" t="s">
        <v>666</v>
      </c>
      <c r="H247" s="6" t="s">
        <v>667</v>
      </c>
      <c r="I247" s="6" t="s">
        <v>212</v>
      </c>
      <c r="J247" s="7" t="s">
        <v>668</v>
      </c>
    </row>
    <row r="248" customFormat="false" ht="15" hidden="false" customHeight="false" outlineLevel="0" collapsed="false">
      <c r="A248" s="6" t="s">
        <v>665</v>
      </c>
      <c r="B248" s="6" t="n">
        <v>5</v>
      </c>
      <c r="C248" s="6" t="n">
        <v>1</v>
      </c>
      <c r="D248" s="6" t="s">
        <v>32</v>
      </c>
      <c r="E248" s="6" t="s">
        <v>49</v>
      </c>
      <c r="F248" s="6"/>
      <c r="G248" s="6" t="s">
        <v>103</v>
      </c>
      <c r="H248" s="6" t="s">
        <v>669</v>
      </c>
      <c r="I248" s="6" t="s">
        <v>104</v>
      </c>
      <c r="J248" s="7" t="s">
        <v>105</v>
      </c>
    </row>
    <row r="249" customFormat="false" ht="15" hidden="false" customHeight="false" outlineLevel="0" collapsed="false">
      <c r="A249" s="6" t="s">
        <v>665</v>
      </c>
      <c r="B249" s="6" t="n">
        <v>6</v>
      </c>
      <c r="C249" s="6" t="n">
        <v>1</v>
      </c>
      <c r="D249" s="6" t="s">
        <v>42</v>
      </c>
      <c r="E249" s="6" t="s">
        <v>55</v>
      </c>
      <c r="F249" s="6"/>
      <c r="G249" s="6" t="s">
        <v>56</v>
      </c>
      <c r="H249" s="6" t="s">
        <v>670</v>
      </c>
      <c r="I249" s="6" t="s">
        <v>58</v>
      </c>
      <c r="J249" s="7" t="s">
        <v>671</v>
      </c>
    </row>
    <row r="250" customFormat="false" ht="15" hidden="false" customHeight="false" outlineLevel="0" collapsed="false">
      <c r="A250" s="6" t="s">
        <v>665</v>
      </c>
      <c r="B250" s="6" t="n">
        <v>7</v>
      </c>
      <c r="C250" s="6" t="n">
        <v>1</v>
      </c>
      <c r="D250" s="6" t="s">
        <v>42</v>
      </c>
      <c r="E250" s="6" t="s">
        <v>49</v>
      </c>
      <c r="F250" s="6"/>
      <c r="G250" s="6" t="s">
        <v>672</v>
      </c>
      <c r="H250" s="6" t="s">
        <v>673</v>
      </c>
      <c r="I250" s="6" t="s">
        <v>229</v>
      </c>
      <c r="J250" s="7" t="s">
        <v>674</v>
      </c>
    </row>
    <row r="251" customFormat="false" ht="15" hidden="false" customHeight="false" outlineLevel="0" collapsed="false">
      <c r="A251" s="6" t="s">
        <v>665</v>
      </c>
      <c r="B251" s="6" t="n">
        <v>8</v>
      </c>
      <c r="C251" s="6" t="n">
        <v>1</v>
      </c>
      <c r="D251" s="6" t="s">
        <v>32</v>
      </c>
      <c r="E251" s="6" t="s">
        <v>49</v>
      </c>
      <c r="F251" s="6"/>
      <c r="G251" s="6" t="s">
        <v>161</v>
      </c>
      <c r="H251" s="6" t="s">
        <v>675</v>
      </c>
      <c r="I251" s="6" t="s">
        <v>162</v>
      </c>
      <c r="J251" s="7" t="s">
        <v>163</v>
      </c>
    </row>
    <row r="252" customFormat="false" ht="15" hidden="false" customHeight="false" outlineLevel="0" collapsed="false">
      <c r="A252" s="6" t="s">
        <v>665</v>
      </c>
      <c r="B252" s="6" t="n">
        <v>9</v>
      </c>
      <c r="C252" s="6" t="n">
        <v>1</v>
      </c>
      <c r="D252" s="6" t="s">
        <v>32</v>
      </c>
      <c r="E252" s="6" t="s">
        <v>49</v>
      </c>
      <c r="F252" s="6"/>
      <c r="G252" s="6" t="s">
        <v>676</v>
      </c>
      <c r="H252" s="6" t="s">
        <v>677</v>
      </c>
      <c r="I252" s="6" t="s">
        <v>201</v>
      </c>
      <c r="J252" s="7" t="s">
        <v>678</v>
      </c>
    </row>
    <row r="253" customFormat="false" ht="15" hidden="false" customHeight="false" outlineLevel="0" collapsed="false">
      <c r="A253" s="6" t="s">
        <v>665</v>
      </c>
      <c r="B253" s="6" t="n">
        <v>16</v>
      </c>
      <c r="C253" s="6" t="n">
        <v>1</v>
      </c>
      <c r="D253" s="6" t="s">
        <v>42</v>
      </c>
      <c r="E253" s="6" t="s">
        <v>679</v>
      </c>
      <c r="F253" s="6"/>
      <c r="G253" s="6" t="s">
        <v>680</v>
      </c>
      <c r="H253" s="6" t="s">
        <v>681</v>
      </c>
      <c r="I253" s="6" t="s">
        <v>104</v>
      </c>
      <c r="J253" s="7" t="s">
        <v>682</v>
      </c>
    </row>
    <row r="254" customFormat="false" ht="15" hidden="false" customHeight="false" outlineLevel="0" collapsed="false">
      <c r="A254" s="6" t="s">
        <v>665</v>
      </c>
      <c r="B254" s="6" t="n">
        <v>17</v>
      </c>
      <c r="C254" s="6" t="n">
        <v>1</v>
      </c>
      <c r="D254" s="6" t="s">
        <v>42</v>
      </c>
      <c r="E254" s="6" t="s">
        <v>683</v>
      </c>
      <c r="F254" s="6"/>
      <c r="G254" s="6" t="s">
        <v>684</v>
      </c>
      <c r="H254" s="6" t="s">
        <v>685</v>
      </c>
      <c r="I254" s="6" t="s">
        <v>229</v>
      </c>
      <c r="J254" s="7" t="s">
        <v>686</v>
      </c>
    </row>
    <row r="255" customFormat="false" ht="15" hidden="false" customHeight="false" outlineLevel="0" collapsed="false">
      <c r="A255" s="6" t="s">
        <v>665</v>
      </c>
      <c r="B255" s="6" t="n">
        <v>18</v>
      </c>
      <c r="C255" s="6" t="n">
        <v>1</v>
      </c>
      <c r="D255" s="6" t="s">
        <v>32</v>
      </c>
      <c r="E255" s="6" t="s">
        <v>49</v>
      </c>
      <c r="F255" s="6"/>
      <c r="G255" s="6" t="s">
        <v>687</v>
      </c>
      <c r="H255" s="6" t="s">
        <v>688</v>
      </c>
      <c r="I255" s="6" t="s">
        <v>51</v>
      </c>
      <c r="J255" s="7" t="s">
        <v>689</v>
      </c>
    </row>
    <row r="256" customFormat="false" ht="15" hidden="false" customHeight="false" outlineLevel="0" collapsed="false">
      <c r="A256" s="6" t="s">
        <v>665</v>
      </c>
      <c r="B256" s="6" t="n">
        <v>19</v>
      </c>
      <c r="C256" s="6" t="n">
        <v>1</v>
      </c>
      <c r="D256" s="6" t="s">
        <v>32</v>
      </c>
      <c r="E256" s="6" t="s">
        <v>49</v>
      </c>
      <c r="F256" s="6"/>
      <c r="G256" s="6" t="s">
        <v>194</v>
      </c>
      <c r="H256" s="6" t="s">
        <v>690</v>
      </c>
      <c r="I256" s="6" t="s">
        <v>128</v>
      </c>
      <c r="J256" s="7" t="s">
        <v>691</v>
      </c>
    </row>
    <row r="257" customFormat="false" ht="15" hidden="false" customHeight="false" outlineLevel="0" collapsed="false">
      <c r="A257" s="6" t="s">
        <v>665</v>
      </c>
      <c r="B257" s="6" t="n">
        <v>20</v>
      </c>
      <c r="C257" s="6" t="n">
        <v>1</v>
      </c>
      <c r="D257" s="6" t="s">
        <v>42</v>
      </c>
      <c r="E257" s="6" t="s">
        <v>38</v>
      </c>
      <c r="F257" s="6"/>
      <c r="G257" s="6" t="s">
        <v>692</v>
      </c>
      <c r="H257" s="6" t="s">
        <v>693</v>
      </c>
      <c r="I257" s="6" t="s">
        <v>694</v>
      </c>
      <c r="J257" s="7" t="s">
        <v>695</v>
      </c>
    </row>
    <row r="258" customFormat="false" ht="15" hidden="false" customHeight="false" outlineLevel="0" collapsed="false">
      <c r="A258" s="6" t="s">
        <v>665</v>
      </c>
      <c r="B258" s="6" t="n">
        <v>21</v>
      </c>
      <c r="C258" s="6" t="n">
        <v>1</v>
      </c>
      <c r="D258" s="6" t="s">
        <v>42</v>
      </c>
      <c r="E258" s="6" t="s">
        <v>49</v>
      </c>
      <c r="F258" s="6"/>
      <c r="G258" s="6" t="s">
        <v>147</v>
      </c>
      <c r="H258" s="6" t="s">
        <v>696</v>
      </c>
      <c r="I258" s="6" t="s">
        <v>148</v>
      </c>
      <c r="J258" s="7" t="s">
        <v>697</v>
      </c>
    </row>
    <row r="259" customFormat="false" ht="15" hidden="false" customHeight="false" outlineLevel="0" collapsed="false">
      <c r="A259" s="6" t="s">
        <v>665</v>
      </c>
      <c r="B259" s="6" t="n">
        <v>22</v>
      </c>
      <c r="C259" s="6" t="n">
        <v>1</v>
      </c>
      <c r="D259" s="6" t="s">
        <v>42</v>
      </c>
      <c r="E259" s="6" t="s">
        <v>49</v>
      </c>
      <c r="F259" s="6"/>
      <c r="G259" s="6" t="s">
        <v>196</v>
      </c>
      <c r="H259" s="6" t="s">
        <v>698</v>
      </c>
      <c r="I259" s="6" t="s">
        <v>104</v>
      </c>
      <c r="J259" s="7" t="s">
        <v>699</v>
      </c>
    </row>
    <row r="260" customFormat="false" ht="15" hidden="false" customHeight="false" outlineLevel="0" collapsed="false">
      <c r="A260" s="6" t="s">
        <v>665</v>
      </c>
      <c r="B260" s="6" t="n">
        <v>23</v>
      </c>
      <c r="C260" s="6" t="n">
        <v>1</v>
      </c>
      <c r="D260" s="6" t="s">
        <v>42</v>
      </c>
      <c r="E260" s="6" t="s">
        <v>49</v>
      </c>
      <c r="F260" s="6"/>
      <c r="G260" s="6" t="s">
        <v>700</v>
      </c>
      <c r="H260" s="6" t="s">
        <v>701</v>
      </c>
      <c r="I260" s="6" t="s">
        <v>462</v>
      </c>
      <c r="J260" s="7" t="s">
        <v>702</v>
      </c>
    </row>
    <row r="261" customFormat="false" ht="15" hidden="false" customHeight="false" outlineLevel="0" collapsed="false">
      <c r="A261" s="6" t="s">
        <v>665</v>
      </c>
      <c r="B261" s="6" t="n">
        <v>24</v>
      </c>
      <c r="C261" s="6" t="n">
        <v>1</v>
      </c>
      <c r="D261" s="6" t="s">
        <v>42</v>
      </c>
      <c r="E261" s="6" t="s">
        <v>49</v>
      </c>
      <c r="F261" s="6"/>
      <c r="G261" s="6" t="s">
        <v>703</v>
      </c>
      <c r="H261" s="6" t="s">
        <v>704</v>
      </c>
      <c r="I261" s="6" t="s">
        <v>216</v>
      </c>
      <c r="J261" s="7" t="s">
        <v>705</v>
      </c>
    </row>
    <row r="262" customFormat="false" ht="15" hidden="false" customHeight="false" outlineLevel="0" collapsed="false">
      <c r="A262" s="6" t="s">
        <v>665</v>
      </c>
      <c r="B262" s="6" t="n">
        <v>25</v>
      </c>
      <c r="C262" s="6" t="n">
        <v>1</v>
      </c>
      <c r="D262" s="6" t="s">
        <v>42</v>
      </c>
      <c r="E262" s="6" t="s">
        <v>38</v>
      </c>
      <c r="F262" s="6"/>
      <c r="G262" s="6" t="s">
        <v>138</v>
      </c>
      <c r="H262" s="6" t="s">
        <v>706</v>
      </c>
      <c r="I262" s="6" t="s">
        <v>104</v>
      </c>
      <c r="J262" s="7" t="s">
        <v>707</v>
      </c>
    </row>
    <row r="263" customFormat="false" ht="15" hidden="false" customHeight="false" outlineLevel="0" collapsed="false">
      <c r="A263" s="6" t="s">
        <v>665</v>
      </c>
      <c r="B263" s="6" t="n">
        <v>26</v>
      </c>
      <c r="C263" s="6" t="n">
        <v>1</v>
      </c>
      <c r="D263" s="6" t="s">
        <v>42</v>
      </c>
      <c r="E263" s="6" t="s">
        <v>66</v>
      </c>
      <c r="F263" s="6"/>
      <c r="G263" s="6" t="s">
        <v>708</v>
      </c>
      <c r="H263" s="6" t="s">
        <v>709</v>
      </c>
      <c r="I263" s="6" t="s">
        <v>104</v>
      </c>
      <c r="J263" s="7" t="s">
        <v>710</v>
      </c>
    </row>
    <row r="264" customFormat="false" ht="15" hidden="false" customHeight="false" outlineLevel="0" collapsed="false">
      <c r="A264" s="6" t="s">
        <v>665</v>
      </c>
      <c r="B264" s="6" t="n">
        <v>27</v>
      </c>
      <c r="C264" s="6" t="n">
        <v>1</v>
      </c>
      <c r="D264" s="6" t="s">
        <v>42</v>
      </c>
      <c r="E264" s="6" t="s">
        <v>38</v>
      </c>
      <c r="F264" s="6"/>
      <c r="G264" s="6" t="s">
        <v>711</v>
      </c>
      <c r="H264" s="6" t="s">
        <v>712</v>
      </c>
      <c r="I264" s="6" t="s">
        <v>201</v>
      </c>
      <c r="J264" s="7" t="s">
        <v>713</v>
      </c>
    </row>
    <row r="265" customFormat="false" ht="15" hidden="false" customHeight="false" outlineLevel="0" collapsed="false">
      <c r="A265" s="6" t="s">
        <v>665</v>
      </c>
      <c r="B265" s="6" t="n">
        <v>28</v>
      </c>
      <c r="C265" s="6" t="n">
        <v>1</v>
      </c>
      <c r="D265" s="6" t="s">
        <v>42</v>
      </c>
      <c r="E265" s="6" t="s">
        <v>49</v>
      </c>
      <c r="F265" s="6"/>
      <c r="G265" s="6" t="s">
        <v>714</v>
      </c>
      <c r="H265" s="6" t="s">
        <v>715</v>
      </c>
      <c r="I265" s="6" t="s">
        <v>104</v>
      </c>
      <c r="J265" s="7" t="s">
        <v>716</v>
      </c>
    </row>
    <row r="266" customFormat="false" ht="15" hidden="false" customHeight="false" outlineLevel="0" collapsed="false">
      <c r="A266" s="6" t="s">
        <v>665</v>
      </c>
      <c r="B266" s="6" t="n">
        <v>30</v>
      </c>
      <c r="C266" s="6" t="n">
        <v>1</v>
      </c>
      <c r="D266" s="6" t="s">
        <v>42</v>
      </c>
      <c r="E266" s="6" t="s">
        <v>38</v>
      </c>
      <c r="F266" s="6"/>
      <c r="G266" s="6" t="s">
        <v>717</v>
      </c>
      <c r="H266" s="6" t="s">
        <v>718</v>
      </c>
      <c r="I266" s="6" t="s">
        <v>51</v>
      </c>
      <c r="J266" s="7" t="s">
        <v>719</v>
      </c>
    </row>
    <row r="267" customFormat="false" ht="15" hidden="false" customHeight="false" outlineLevel="0" collapsed="false">
      <c r="A267" s="6" t="s">
        <v>665</v>
      </c>
      <c r="B267" s="6" t="n">
        <v>31</v>
      </c>
      <c r="C267" s="6" t="n">
        <v>1</v>
      </c>
      <c r="D267" s="6" t="s">
        <v>42</v>
      </c>
      <c r="E267" s="6" t="s">
        <v>38</v>
      </c>
      <c r="F267" s="6"/>
      <c r="G267" s="6" t="s">
        <v>720</v>
      </c>
      <c r="H267" s="6" t="s">
        <v>721</v>
      </c>
      <c r="I267" s="6" t="s">
        <v>40</v>
      </c>
      <c r="J267" s="7" t="s">
        <v>722</v>
      </c>
    </row>
    <row r="268" customFormat="false" ht="15" hidden="false" customHeight="false" outlineLevel="0" collapsed="false">
      <c r="A268" s="6" t="s">
        <v>665</v>
      </c>
      <c r="B268" s="6" t="n">
        <v>3</v>
      </c>
      <c r="C268" s="6" t="n">
        <v>2</v>
      </c>
      <c r="D268" s="6" t="s">
        <v>32</v>
      </c>
      <c r="E268" s="6" t="s">
        <v>49</v>
      </c>
      <c r="F268" s="6"/>
      <c r="G268" s="6" t="s">
        <v>723</v>
      </c>
      <c r="H268" s="6" t="s">
        <v>724</v>
      </c>
      <c r="I268" s="6" t="s">
        <v>104</v>
      </c>
      <c r="J268" s="7" t="s">
        <v>725</v>
      </c>
    </row>
    <row r="269" customFormat="false" ht="15" hidden="false" customHeight="false" outlineLevel="0" collapsed="false">
      <c r="A269" s="6" t="s">
        <v>665</v>
      </c>
      <c r="B269" s="6" t="n">
        <v>5</v>
      </c>
      <c r="C269" s="6" t="n">
        <v>2</v>
      </c>
      <c r="D269" s="6" t="s">
        <v>32</v>
      </c>
      <c r="E269" s="6" t="s">
        <v>49</v>
      </c>
      <c r="F269" s="6"/>
      <c r="G269" s="6" t="s">
        <v>726</v>
      </c>
      <c r="H269" s="6" t="s">
        <v>727</v>
      </c>
      <c r="I269" s="6" t="s">
        <v>201</v>
      </c>
      <c r="J269" s="7" t="s">
        <v>728</v>
      </c>
    </row>
    <row r="270" customFormat="false" ht="15" hidden="false" customHeight="false" outlineLevel="0" collapsed="false">
      <c r="A270" s="6" t="s">
        <v>665</v>
      </c>
      <c r="B270" s="6" t="n">
        <v>6</v>
      </c>
      <c r="C270" s="6" t="n">
        <v>2</v>
      </c>
      <c r="D270" s="6" t="s">
        <v>42</v>
      </c>
      <c r="E270" s="6" t="s">
        <v>729</v>
      </c>
      <c r="F270" s="6"/>
      <c r="G270" s="6" t="s">
        <v>730</v>
      </c>
      <c r="H270" s="6" t="s">
        <v>731</v>
      </c>
      <c r="I270" s="6" t="s">
        <v>732</v>
      </c>
      <c r="J270" s="7" t="s">
        <v>733</v>
      </c>
    </row>
    <row r="271" customFormat="false" ht="15" hidden="false" customHeight="false" outlineLevel="0" collapsed="false">
      <c r="A271" s="6" t="s">
        <v>665</v>
      </c>
      <c r="B271" s="6" t="n">
        <v>7</v>
      </c>
      <c r="C271" s="6" t="n">
        <v>2</v>
      </c>
      <c r="D271" s="6" t="s">
        <v>42</v>
      </c>
      <c r="E271" s="6" t="s">
        <v>38</v>
      </c>
      <c r="F271" s="6"/>
      <c r="G271" s="6" t="s">
        <v>734</v>
      </c>
      <c r="H271" s="6" t="s">
        <v>735</v>
      </c>
      <c r="I271" s="6" t="s">
        <v>104</v>
      </c>
      <c r="J271" s="7" t="s">
        <v>736</v>
      </c>
    </row>
    <row r="272" customFormat="false" ht="15" hidden="false" customHeight="false" outlineLevel="0" collapsed="false">
      <c r="A272" s="6" t="s">
        <v>665</v>
      </c>
      <c r="B272" s="6" t="n">
        <v>8</v>
      </c>
      <c r="C272" s="6" t="n">
        <v>2</v>
      </c>
      <c r="D272" s="6" t="s">
        <v>32</v>
      </c>
      <c r="E272" s="6" t="s">
        <v>49</v>
      </c>
      <c r="F272" s="6"/>
      <c r="G272" s="6" t="s">
        <v>263</v>
      </c>
      <c r="H272" s="6" t="s">
        <v>737</v>
      </c>
      <c r="I272" s="6" t="s">
        <v>51</v>
      </c>
      <c r="J272" s="7" t="s">
        <v>738</v>
      </c>
    </row>
    <row r="273" customFormat="false" ht="15" hidden="false" customHeight="false" outlineLevel="0" collapsed="false">
      <c r="A273" s="6" t="s">
        <v>665</v>
      </c>
      <c r="B273" s="6" t="n">
        <v>15</v>
      </c>
      <c r="C273" s="6" t="n">
        <v>2</v>
      </c>
      <c r="D273" s="6" t="s">
        <v>42</v>
      </c>
      <c r="E273" s="6" t="s">
        <v>739</v>
      </c>
      <c r="F273" s="6"/>
      <c r="G273" s="6" t="s">
        <v>740</v>
      </c>
      <c r="H273" s="6" t="s">
        <v>741</v>
      </c>
      <c r="I273" s="6" t="s">
        <v>620</v>
      </c>
      <c r="J273" s="7" t="s">
        <v>742</v>
      </c>
    </row>
    <row r="274" customFormat="false" ht="15" hidden="false" customHeight="false" outlineLevel="0" collapsed="false">
      <c r="A274" s="6" t="s">
        <v>665</v>
      </c>
      <c r="B274" s="6" t="n">
        <v>16</v>
      </c>
      <c r="C274" s="6" t="n">
        <v>2</v>
      </c>
      <c r="D274" s="6" t="s">
        <v>42</v>
      </c>
      <c r="E274" s="6" t="s">
        <v>38</v>
      </c>
      <c r="F274" s="6"/>
      <c r="G274" s="6" t="s">
        <v>743</v>
      </c>
      <c r="H274" s="6" t="s">
        <v>744</v>
      </c>
      <c r="I274" s="6" t="s">
        <v>104</v>
      </c>
      <c r="J274" s="7" t="s">
        <v>745</v>
      </c>
    </row>
    <row r="275" customFormat="false" ht="15" hidden="false" customHeight="false" outlineLevel="0" collapsed="false">
      <c r="A275" s="6" t="s">
        <v>665</v>
      </c>
      <c r="B275" s="6" t="n">
        <v>17</v>
      </c>
      <c r="C275" s="6" t="n">
        <v>2</v>
      </c>
      <c r="D275" s="6" t="s">
        <v>32</v>
      </c>
      <c r="E275" s="6" t="s">
        <v>273</v>
      </c>
      <c r="F275" s="6"/>
      <c r="G275" s="6" t="s">
        <v>746</v>
      </c>
      <c r="H275" s="6" t="s">
        <v>747</v>
      </c>
      <c r="I275" s="6" t="s">
        <v>748</v>
      </c>
      <c r="J275" s="7" t="s">
        <v>749</v>
      </c>
    </row>
    <row r="276" customFormat="false" ht="15" hidden="false" customHeight="false" outlineLevel="0" collapsed="false">
      <c r="A276" s="6" t="s">
        <v>665</v>
      </c>
      <c r="B276" s="6" t="n">
        <v>18</v>
      </c>
      <c r="C276" s="6" t="n">
        <v>2</v>
      </c>
      <c r="D276" s="6" t="s">
        <v>32</v>
      </c>
      <c r="E276" s="6" t="s">
        <v>49</v>
      </c>
      <c r="F276" s="6"/>
      <c r="G276" s="6" t="s">
        <v>236</v>
      </c>
      <c r="H276" s="6" t="s">
        <v>750</v>
      </c>
      <c r="I276" s="6" t="s">
        <v>128</v>
      </c>
      <c r="J276" s="7" t="s">
        <v>751</v>
      </c>
    </row>
    <row r="277" customFormat="false" ht="15" hidden="false" customHeight="false" outlineLevel="0" collapsed="false">
      <c r="A277" s="6" t="s">
        <v>665</v>
      </c>
      <c r="B277" s="6" t="n">
        <v>19</v>
      </c>
      <c r="C277" s="6" t="n">
        <v>2</v>
      </c>
      <c r="D277" s="6" t="s">
        <v>42</v>
      </c>
      <c r="E277" s="6" t="s">
        <v>33</v>
      </c>
      <c r="F277" s="6"/>
      <c r="G277" s="6" t="s">
        <v>752</v>
      </c>
      <c r="H277" s="6" t="s">
        <v>753</v>
      </c>
      <c r="I277" s="6" t="s">
        <v>98</v>
      </c>
      <c r="J277" s="7" t="s">
        <v>754</v>
      </c>
    </row>
    <row r="278" customFormat="false" ht="15" hidden="false" customHeight="false" outlineLevel="0" collapsed="false">
      <c r="A278" s="6" t="s">
        <v>665</v>
      </c>
      <c r="B278" s="6" t="n">
        <v>20</v>
      </c>
      <c r="C278" s="6" t="n">
        <v>2</v>
      </c>
      <c r="D278" s="6" t="s">
        <v>42</v>
      </c>
      <c r="E278" s="6" t="s">
        <v>49</v>
      </c>
      <c r="F278" s="6"/>
      <c r="G278" s="6" t="s">
        <v>755</v>
      </c>
      <c r="H278" s="6" t="s">
        <v>756</v>
      </c>
      <c r="I278" s="6" t="s">
        <v>757</v>
      </c>
      <c r="J278" s="7" t="s">
        <v>758</v>
      </c>
    </row>
    <row r="279" customFormat="false" ht="15" hidden="false" customHeight="false" outlineLevel="0" collapsed="false">
      <c r="A279" s="6" t="s">
        <v>665</v>
      </c>
      <c r="B279" s="6" t="n">
        <v>22</v>
      </c>
      <c r="C279" s="6" t="n">
        <v>2</v>
      </c>
      <c r="D279" s="6" t="s">
        <v>32</v>
      </c>
      <c r="E279" s="6" t="s">
        <v>49</v>
      </c>
      <c r="F279" s="6"/>
      <c r="G279" s="6" t="s">
        <v>759</v>
      </c>
      <c r="H279" s="6" t="s">
        <v>760</v>
      </c>
      <c r="I279" s="6" t="s">
        <v>204</v>
      </c>
      <c r="J279" s="7" t="s">
        <v>761</v>
      </c>
    </row>
    <row r="280" customFormat="false" ht="15" hidden="false" customHeight="false" outlineLevel="0" collapsed="false">
      <c r="A280" s="6" t="s">
        <v>665</v>
      </c>
      <c r="B280" s="6" t="n">
        <v>23</v>
      </c>
      <c r="C280" s="6" t="n">
        <v>2</v>
      </c>
      <c r="D280" s="6" t="s">
        <v>42</v>
      </c>
      <c r="E280" s="6" t="s">
        <v>38</v>
      </c>
      <c r="F280" s="6"/>
      <c r="G280" s="6" t="s">
        <v>762</v>
      </c>
      <c r="H280" s="6" t="s">
        <v>763</v>
      </c>
      <c r="I280" s="6" t="s">
        <v>104</v>
      </c>
      <c r="J280" s="7" t="s">
        <v>764</v>
      </c>
    </row>
    <row r="281" customFormat="false" ht="15" hidden="false" customHeight="false" outlineLevel="0" collapsed="false">
      <c r="A281" s="6" t="s">
        <v>665</v>
      </c>
      <c r="B281" s="6" t="n">
        <v>24</v>
      </c>
      <c r="C281" s="6" t="n">
        <v>2</v>
      </c>
      <c r="D281" s="6" t="s">
        <v>42</v>
      </c>
      <c r="E281" s="6" t="s">
        <v>175</v>
      </c>
      <c r="F281" s="6"/>
      <c r="G281" s="6" t="s">
        <v>765</v>
      </c>
      <c r="H281" s="6" t="s">
        <v>766</v>
      </c>
      <c r="I281" s="6" t="s">
        <v>694</v>
      </c>
      <c r="J281" s="7" t="s">
        <v>767</v>
      </c>
    </row>
    <row r="282" customFormat="false" ht="15" hidden="false" customHeight="false" outlineLevel="0" collapsed="false">
      <c r="A282" s="6" t="s">
        <v>665</v>
      </c>
      <c r="B282" s="6" t="n">
        <v>25</v>
      </c>
      <c r="C282" s="6" t="n">
        <v>2</v>
      </c>
      <c r="D282" s="6" t="s">
        <v>42</v>
      </c>
      <c r="E282" s="6" t="s">
        <v>49</v>
      </c>
      <c r="F282" s="6"/>
      <c r="G282" s="6" t="s">
        <v>768</v>
      </c>
      <c r="H282" s="6" t="s">
        <v>673</v>
      </c>
      <c r="I282" s="6" t="s">
        <v>229</v>
      </c>
      <c r="J282" s="7" t="s">
        <v>769</v>
      </c>
    </row>
    <row r="283" customFormat="false" ht="15" hidden="false" customHeight="false" outlineLevel="0" collapsed="false">
      <c r="A283" s="6" t="s">
        <v>665</v>
      </c>
      <c r="B283" s="6" t="n">
        <v>26</v>
      </c>
      <c r="C283" s="6" t="n">
        <v>2</v>
      </c>
      <c r="D283" s="6" t="s">
        <v>42</v>
      </c>
      <c r="E283" s="6" t="s">
        <v>33</v>
      </c>
      <c r="F283" s="6"/>
      <c r="G283" s="6" t="s">
        <v>770</v>
      </c>
      <c r="H283" s="6" t="s">
        <v>771</v>
      </c>
      <c r="I283" s="6" t="s">
        <v>278</v>
      </c>
      <c r="J283" s="7" t="s">
        <v>772</v>
      </c>
    </row>
    <row r="284" customFormat="false" ht="15" hidden="false" customHeight="false" outlineLevel="0" collapsed="false">
      <c r="A284" s="6" t="s">
        <v>665</v>
      </c>
      <c r="B284" s="6" t="n">
        <v>27</v>
      </c>
      <c r="C284" s="6" t="n">
        <v>2</v>
      </c>
      <c r="D284" s="6" t="s">
        <v>42</v>
      </c>
      <c r="E284" s="6" t="s">
        <v>150</v>
      </c>
      <c r="F284" s="6"/>
      <c r="G284" s="6" t="s">
        <v>773</v>
      </c>
      <c r="H284" s="6" t="s">
        <v>774</v>
      </c>
      <c r="I284" s="6" t="s">
        <v>153</v>
      </c>
      <c r="J284" s="7" t="s">
        <v>775</v>
      </c>
    </row>
    <row r="285" customFormat="false" ht="15" hidden="false" customHeight="false" outlineLevel="0" collapsed="false">
      <c r="A285" s="6" t="s">
        <v>665</v>
      </c>
      <c r="B285" s="6" t="n">
        <v>28</v>
      </c>
      <c r="C285" s="6" t="n">
        <v>2</v>
      </c>
      <c r="D285" s="6" t="s">
        <v>42</v>
      </c>
      <c r="E285" s="6" t="s">
        <v>49</v>
      </c>
      <c r="F285" s="6"/>
      <c r="G285" s="6" t="s">
        <v>776</v>
      </c>
      <c r="H285" s="6" t="s">
        <v>777</v>
      </c>
      <c r="I285" s="6" t="s">
        <v>212</v>
      </c>
      <c r="J285" s="7" t="s">
        <v>778</v>
      </c>
    </row>
    <row r="286" customFormat="false" ht="15" hidden="false" customHeight="false" outlineLevel="0" collapsed="false">
      <c r="A286" s="6" t="s">
        <v>665</v>
      </c>
      <c r="B286" s="6" t="n">
        <v>29</v>
      </c>
      <c r="C286" s="6" t="n">
        <v>2</v>
      </c>
      <c r="D286" s="6" t="s">
        <v>42</v>
      </c>
      <c r="E286" s="6" t="s">
        <v>49</v>
      </c>
      <c r="F286" s="6"/>
      <c r="G286" s="6" t="s">
        <v>779</v>
      </c>
      <c r="H286" s="6" t="s">
        <v>780</v>
      </c>
      <c r="I286" s="6" t="s">
        <v>104</v>
      </c>
      <c r="J286" s="7" t="s">
        <v>781</v>
      </c>
    </row>
    <row r="287" customFormat="false" ht="15" hidden="false" customHeight="false" outlineLevel="0" collapsed="false">
      <c r="A287" s="6" t="s">
        <v>665</v>
      </c>
      <c r="B287" s="6" t="n">
        <v>30</v>
      </c>
      <c r="C287" s="6" t="n">
        <v>2</v>
      </c>
      <c r="D287" s="6" t="s">
        <v>42</v>
      </c>
      <c r="E287" s="6" t="s">
        <v>49</v>
      </c>
      <c r="F287" s="6"/>
      <c r="G287" s="6" t="s">
        <v>782</v>
      </c>
      <c r="H287" s="6" t="s">
        <v>783</v>
      </c>
      <c r="I287" s="6" t="s">
        <v>784</v>
      </c>
      <c r="J287" s="7" t="s">
        <v>785</v>
      </c>
    </row>
    <row r="288" customFormat="false" ht="15" hidden="false" customHeight="false" outlineLevel="0" collapsed="false">
      <c r="A288" s="6" t="s">
        <v>665</v>
      </c>
      <c r="B288" s="6" t="n">
        <v>31</v>
      </c>
      <c r="C288" s="6" t="n">
        <v>2</v>
      </c>
      <c r="D288" s="6" t="s">
        <v>42</v>
      </c>
      <c r="E288" s="6" t="s">
        <v>38</v>
      </c>
      <c r="F288" s="6"/>
      <c r="G288" s="6" t="s">
        <v>786</v>
      </c>
      <c r="H288" s="6" t="s">
        <v>787</v>
      </c>
      <c r="I288" s="6" t="s">
        <v>51</v>
      </c>
      <c r="J288" s="7" t="s">
        <v>788</v>
      </c>
    </row>
    <row r="289" customFormat="false" ht="15" hidden="false" customHeight="false" outlineLevel="0" collapsed="false">
      <c r="A289" s="6" t="s">
        <v>665</v>
      </c>
      <c r="B289" s="6" t="n">
        <v>32</v>
      </c>
      <c r="C289" s="6" t="n">
        <v>2</v>
      </c>
      <c r="D289" s="6" t="s">
        <v>42</v>
      </c>
      <c r="E289" s="6" t="s">
        <v>38</v>
      </c>
      <c r="F289" s="6"/>
      <c r="G289" s="6" t="s">
        <v>133</v>
      </c>
      <c r="H289" s="6" t="s">
        <v>789</v>
      </c>
      <c r="I289" s="6" t="s">
        <v>40</v>
      </c>
      <c r="J289" s="7" t="s">
        <v>790</v>
      </c>
    </row>
    <row r="290" customFormat="false" ht="15" hidden="false" customHeight="false" outlineLevel="0" collapsed="false">
      <c r="A290" s="6" t="s">
        <v>791</v>
      </c>
      <c r="B290" s="6" t="n">
        <v>4</v>
      </c>
      <c r="C290" s="6" t="n">
        <v>1</v>
      </c>
      <c r="D290" s="6" t="s">
        <v>32</v>
      </c>
      <c r="E290" s="6" t="s">
        <v>49</v>
      </c>
      <c r="F290" s="6" t="s">
        <v>155</v>
      </c>
      <c r="G290" s="6" t="s">
        <v>63</v>
      </c>
      <c r="H290" s="6" t="s">
        <v>792</v>
      </c>
      <c r="I290" s="6" t="s">
        <v>64</v>
      </c>
      <c r="J290" s="7" t="s">
        <v>65</v>
      </c>
    </row>
    <row r="291" customFormat="false" ht="15" hidden="false" customHeight="false" outlineLevel="0" collapsed="false">
      <c r="A291" s="6" t="s">
        <v>791</v>
      </c>
      <c r="B291" s="6" t="n">
        <v>5</v>
      </c>
      <c r="C291" s="6" t="n">
        <v>1</v>
      </c>
      <c r="D291" s="6" t="s">
        <v>32</v>
      </c>
      <c r="E291" s="6" t="s">
        <v>49</v>
      </c>
      <c r="F291" s="6"/>
      <c r="G291" s="6" t="s">
        <v>793</v>
      </c>
      <c r="H291" s="6" t="s">
        <v>794</v>
      </c>
      <c r="I291" s="6" t="s">
        <v>104</v>
      </c>
      <c r="J291" s="7" t="s">
        <v>795</v>
      </c>
    </row>
    <row r="292" customFormat="false" ht="15" hidden="false" customHeight="false" outlineLevel="0" collapsed="false">
      <c r="A292" s="6" t="s">
        <v>791</v>
      </c>
      <c r="B292" s="6" t="n">
        <v>6</v>
      </c>
      <c r="C292" s="6" t="n">
        <v>1</v>
      </c>
      <c r="D292" s="6" t="s">
        <v>42</v>
      </c>
      <c r="E292" s="6" t="s">
        <v>55</v>
      </c>
      <c r="F292" s="6"/>
      <c r="G292" s="6" t="s">
        <v>56</v>
      </c>
      <c r="H292" s="6" t="s">
        <v>670</v>
      </c>
      <c r="I292" s="6" t="s">
        <v>58</v>
      </c>
      <c r="J292" s="7" t="s">
        <v>671</v>
      </c>
    </row>
    <row r="293" customFormat="false" ht="15" hidden="false" customHeight="false" outlineLevel="0" collapsed="false">
      <c r="A293" s="6" t="s">
        <v>791</v>
      </c>
      <c r="B293" s="6" t="n">
        <v>7</v>
      </c>
      <c r="C293" s="6" t="n">
        <v>1</v>
      </c>
      <c r="D293" s="6" t="s">
        <v>42</v>
      </c>
      <c r="E293" s="6" t="s">
        <v>33</v>
      </c>
      <c r="F293" s="6"/>
      <c r="G293" s="6" t="s">
        <v>92</v>
      </c>
      <c r="H293" s="6" t="s">
        <v>796</v>
      </c>
      <c r="I293" s="6" t="s">
        <v>93</v>
      </c>
      <c r="J293" s="7" t="s">
        <v>797</v>
      </c>
    </row>
    <row r="294" customFormat="false" ht="15" hidden="false" customHeight="false" outlineLevel="0" collapsed="false">
      <c r="A294" s="6" t="s">
        <v>791</v>
      </c>
      <c r="B294" s="6" t="n">
        <v>8</v>
      </c>
      <c r="C294" s="6" t="n">
        <v>1</v>
      </c>
      <c r="D294" s="6" t="s">
        <v>32</v>
      </c>
      <c r="E294" s="6" t="s">
        <v>49</v>
      </c>
      <c r="F294" s="6"/>
      <c r="G294" s="6" t="s">
        <v>222</v>
      </c>
      <c r="H294" s="6" t="s">
        <v>798</v>
      </c>
      <c r="I294" s="6" t="s">
        <v>181</v>
      </c>
      <c r="J294" s="7" t="s">
        <v>799</v>
      </c>
    </row>
    <row r="295" customFormat="false" ht="15" hidden="false" customHeight="false" outlineLevel="0" collapsed="false">
      <c r="A295" s="6" t="s">
        <v>791</v>
      </c>
      <c r="B295" s="6" t="n">
        <v>9</v>
      </c>
      <c r="C295" s="6" t="n">
        <v>1</v>
      </c>
      <c r="D295" s="6" t="s">
        <v>32</v>
      </c>
      <c r="E295" s="6" t="s">
        <v>49</v>
      </c>
      <c r="F295" s="6"/>
      <c r="G295" s="6" t="s">
        <v>106</v>
      </c>
      <c r="H295" s="6" t="s">
        <v>800</v>
      </c>
      <c r="I295" s="6" t="s">
        <v>51</v>
      </c>
      <c r="J295" s="7" t="s">
        <v>107</v>
      </c>
    </row>
    <row r="296" customFormat="false" ht="15" hidden="false" customHeight="false" outlineLevel="0" collapsed="false">
      <c r="A296" s="6" t="s">
        <v>791</v>
      </c>
      <c r="B296" s="6" t="n">
        <v>16</v>
      </c>
      <c r="C296" s="6" t="n">
        <v>1</v>
      </c>
      <c r="D296" s="6" t="s">
        <v>42</v>
      </c>
      <c r="E296" s="6" t="s">
        <v>683</v>
      </c>
      <c r="F296" s="6"/>
      <c r="G296" s="6" t="s">
        <v>801</v>
      </c>
      <c r="H296" s="6" t="s">
        <v>802</v>
      </c>
      <c r="I296" s="6" t="s">
        <v>803</v>
      </c>
      <c r="J296" s="7" t="s">
        <v>804</v>
      </c>
    </row>
    <row r="297" customFormat="false" ht="15" hidden="false" customHeight="false" outlineLevel="0" collapsed="false">
      <c r="A297" s="6" t="s">
        <v>791</v>
      </c>
      <c r="B297" s="6" t="n">
        <v>17</v>
      </c>
      <c r="C297" s="6" t="n">
        <v>1</v>
      </c>
      <c r="D297" s="6" t="s">
        <v>42</v>
      </c>
      <c r="E297" s="6" t="s">
        <v>33</v>
      </c>
      <c r="F297" s="6"/>
      <c r="G297" s="6" t="s">
        <v>34</v>
      </c>
      <c r="H297" s="6" t="s">
        <v>805</v>
      </c>
      <c r="I297" s="6" t="s">
        <v>36</v>
      </c>
      <c r="J297" s="7" t="s">
        <v>806</v>
      </c>
    </row>
    <row r="298" customFormat="false" ht="15" hidden="false" customHeight="false" outlineLevel="0" collapsed="false">
      <c r="A298" s="6" t="s">
        <v>791</v>
      </c>
      <c r="B298" s="6" t="n">
        <v>18</v>
      </c>
      <c r="C298" s="6" t="n">
        <v>1</v>
      </c>
      <c r="D298" s="6" t="s">
        <v>32</v>
      </c>
      <c r="E298" s="6" t="s">
        <v>66</v>
      </c>
      <c r="F298" s="6"/>
      <c r="G298" s="6" t="s">
        <v>67</v>
      </c>
      <c r="H298" s="6" t="s">
        <v>807</v>
      </c>
      <c r="I298" s="6" t="s">
        <v>40</v>
      </c>
      <c r="J298" s="7" t="s">
        <v>69</v>
      </c>
    </row>
    <row r="299" customFormat="false" ht="15" hidden="false" customHeight="false" outlineLevel="0" collapsed="false">
      <c r="A299" s="6" t="s">
        <v>791</v>
      </c>
      <c r="B299" s="6" t="n">
        <v>19</v>
      </c>
      <c r="C299" s="6" t="n">
        <v>1</v>
      </c>
      <c r="D299" s="6" t="s">
        <v>32</v>
      </c>
      <c r="E299" s="6" t="s">
        <v>49</v>
      </c>
      <c r="F299" s="6"/>
      <c r="G299" s="6" t="s">
        <v>183</v>
      </c>
      <c r="H299" s="6" t="s">
        <v>808</v>
      </c>
      <c r="I299" s="6" t="s">
        <v>64</v>
      </c>
      <c r="J299" s="7" t="s">
        <v>809</v>
      </c>
    </row>
    <row r="300" customFormat="false" ht="15" hidden="false" customHeight="false" outlineLevel="0" collapsed="false">
      <c r="A300" s="6" t="s">
        <v>791</v>
      </c>
      <c r="B300" s="6" t="n">
        <v>20</v>
      </c>
      <c r="C300" s="6" t="n">
        <v>1</v>
      </c>
      <c r="D300" s="6" t="s">
        <v>42</v>
      </c>
      <c r="E300" s="6" t="s">
        <v>38</v>
      </c>
      <c r="F300" s="6"/>
      <c r="G300" s="6" t="s">
        <v>86</v>
      </c>
      <c r="H300" s="6" t="s">
        <v>810</v>
      </c>
      <c r="I300" s="6" t="s">
        <v>87</v>
      </c>
      <c r="J300" s="7" t="s">
        <v>811</v>
      </c>
    </row>
    <row r="301" customFormat="false" ht="15" hidden="false" customHeight="false" outlineLevel="0" collapsed="false">
      <c r="A301" s="6" t="s">
        <v>791</v>
      </c>
      <c r="B301" s="6" t="n">
        <v>21</v>
      </c>
      <c r="C301" s="6" t="n">
        <v>1</v>
      </c>
      <c r="D301" s="6" t="s">
        <v>42</v>
      </c>
      <c r="E301" s="6" t="s">
        <v>38</v>
      </c>
      <c r="F301" s="6" t="s">
        <v>31</v>
      </c>
      <c r="G301" s="6" t="s">
        <v>43</v>
      </c>
      <c r="H301" s="6" t="s">
        <v>812</v>
      </c>
      <c r="I301" s="6" t="s">
        <v>44</v>
      </c>
      <c r="J301" s="7" t="s">
        <v>813</v>
      </c>
    </row>
    <row r="302" customFormat="false" ht="15" hidden="false" customHeight="false" outlineLevel="0" collapsed="false">
      <c r="A302" s="6" t="s">
        <v>791</v>
      </c>
      <c r="B302" s="6" t="n">
        <v>22</v>
      </c>
      <c r="C302" s="6" t="n">
        <v>1</v>
      </c>
      <c r="D302" s="6" t="s">
        <v>42</v>
      </c>
      <c r="E302" s="6" t="s">
        <v>66</v>
      </c>
      <c r="F302" s="6"/>
      <c r="G302" s="6" t="s">
        <v>261</v>
      </c>
      <c r="H302" s="6" t="s">
        <v>814</v>
      </c>
      <c r="I302" s="6" t="s">
        <v>40</v>
      </c>
      <c r="J302" s="7" t="s">
        <v>815</v>
      </c>
    </row>
    <row r="303" customFormat="false" ht="15" hidden="false" customHeight="false" outlineLevel="0" collapsed="false">
      <c r="A303" s="6" t="s">
        <v>791</v>
      </c>
      <c r="B303" s="6" t="n">
        <v>23</v>
      </c>
      <c r="C303" s="6" t="n">
        <v>1</v>
      </c>
      <c r="D303" s="6" t="s">
        <v>42</v>
      </c>
      <c r="E303" s="6" t="s">
        <v>49</v>
      </c>
      <c r="F303" s="6"/>
      <c r="G303" s="6" t="s">
        <v>203</v>
      </c>
      <c r="H303" s="6" t="s">
        <v>816</v>
      </c>
      <c r="I303" s="6" t="s">
        <v>204</v>
      </c>
      <c r="J303" s="7" t="s">
        <v>817</v>
      </c>
    </row>
    <row r="304" customFormat="false" ht="15" hidden="false" customHeight="false" outlineLevel="0" collapsed="false">
      <c r="A304" s="6" t="s">
        <v>791</v>
      </c>
      <c r="B304" s="6" t="n">
        <v>24</v>
      </c>
      <c r="C304" s="6" t="n">
        <v>1</v>
      </c>
      <c r="D304" s="6" t="s">
        <v>42</v>
      </c>
      <c r="E304" s="6" t="s">
        <v>49</v>
      </c>
      <c r="F304" s="6"/>
      <c r="G304" s="6" t="s">
        <v>818</v>
      </c>
      <c r="H304" s="6" t="s">
        <v>819</v>
      </c>
      <c r="I304" s="6" t="s">
        <v>820</v>
      </c>
      <c r="J304" s="7" t="s">
        <v>821</v>
      </c>
    </row>
    <row r="305" customFormat="false" ht="15" hidden="false" customHeight="false" outlineLevel="0" collapsed="false">
      <c r="A305" s="6" t="s">
        <v>791</v>
      </c>
      <c r="B305" s="6" t="n">
        <v>26</v>
      </c>
      <c r="C305" s="6" t="n">
        <v>1</v>
      </c>
      <c r="D305" s="6" t="s">
        <v>42</v>
      </c>
      <c r="E305" s="6" t="s">
        <v>49</v>
      </c>
      <c r="F305" s="6" t="s">
        <v>155</v>
      </c>
      <c r="G305" s="6" t="s">
        <v>822</v>
      </c>
      <c r="H305" s="6" t="s">
        <v>823</v>
      </c>
      <c r="I305" s="6" t="s">
        <v>64</v>
      </c>
      <c r="J305" s="7" t="s">
        <v>824</v>
      </c>
    </row>
    <row r="306" customFormat="false" ht="15" hidden="false" customHeight="false" outlineLevel="0" collapsed="false">
      <c r="A306" s="6" t="s">
        <v>791</v>
      </c>
      <c r="B306" s="6" t="n">
        <v>27</v>
      </c>
      <c r="C306" s="6" t="n">
        <v>1</v>
      </c>
      <c r="D306" s="6" t="s">
        <v>42</v>
      </c>
      <c r="E306" s="6" t="s">
        <v>49</v>
      </c>
      <c r="F306" s="6"/>
      <c r="G306" s="6" t="s">
        <v>246</v>
      </c>
      <c r="H306" s="6" t="s">
        <v>825</v>
      </c>
      <c r="I306" s="6" t="s">
        <v>51</v>
      </c>
      <c r="J306" s="7" t="s">
        <v>826</v>
      </c>
    </row>
    <row r="307" customFormat="false" ht="15" hidden="false" customHeight="false" outlineLevel="0" collapsed="false">
      <c r="A307" s="6" t="s">
        <v>791</v>
      </c>
      <c r="B307" s="6" t="n">
        <v>28</v>
      </c>
      <c r="C307" s="6" t="n">
        <v>1</v>
      </c>
      <c r="D307" s="6" t="s">
        <v>42</v>
      </c>
      <c r="E307" s="6" t="s">
        <v>33</v>
      </c>
      <c r="F307" s="6"/>
      <c r="G307" s="6" t="s">
        <v>827</v>
      </c>
      <c r="H307" s="6" t="s">
        <v>828</v>
      </c>
      <c r="I307" s="6" t="s">
        <v>829</v>
      </c>
      <c r="J307" s="7" t="s">
        <v>830</v>
      </c>
    </row>
    <row r="308" customFormat="false" ht="15" hidden="false" customHeight="false" outlineLevel="0" collapsed="false">
      <c r="A308" s="6" t="s">
        <v>791</v>
      </c>
      <c r="B308" s="6" t="n">
        <v>29</v>
      </c>
      <c r="C308" s="6" t="n">
        <v>1</v>
      </c>
      <c r="D308" s="6" t="s">
        <v>42</v>
      </c>
      <c r="E308" s="6" t="s">
        <v>150</v>
      </c>
      <c r="F308" s="6"/>
      <c r="G308" s="6" t="s">
        <v>151</v>
      </c>
      <c r="H308" s="6" t="s">
        <v>831</v>
      </c>
      <c r="I308" s="6" t="s">
        <v>153</v>
      </c>
      <c r="J308" s="7" t="s">
        <v>832</v>
      </c>
    </row>
    <row r="309" customFormat="false" ht="15" hidden="false" customHeight="false" outlineLevel="0" collapsed="false">
      <c r="A309" s="6" t="s">
        <v>791</v>
      </c>
      <c r="B309" s="6" t="n">
        <v>30</v>
      </c>
      <c r="C309" s="6" t="n">
        <v>1</v>
      </c>
      <c r="D309" s="6" t="s">
        <v>42</v>
      </c>
      <c r="E309" s="6" t="s">
        <v>55</v>
      </c>
      <c r="F309" s="6"/>
      <c r="G309" s="6" t="s">
        <v>833</v>
      </c>
      <c r="H309" s="6" t="s">
        <v>834</v>
      </c>
      <c r="I309" s="6" t="s">
        <v>835</v>
      </c>
      <c r="J309" s="7" t="s">
        <v>836</v>
      </c>
    </row>
    <row r="310" customFormat="false" ht="15" hidden="false" customHeight="false" outlineLevel="0" collapsed="false">
      <c r="A310" s="6" t="s">
        <v>791</v>
      </c>
      <c r="B310" s="6" t="n">
        <v>31</v>
      </c>
      <c r="C310" s="6" t="n">
        <v>1</v>
      </c>
      <c r="D310" s="6" t="s">
        <v>42</v>
      </c>
      <c r="E310" s="6" t="s">
        <v>38</v>
      </c>
      <c r="F310" s="6"/>
      <c r="G310" s="6" t="s">
        <v>95</v>
      </c>
      <c r="H310" s="6" t="s">
        <v>837</v>
      </c>
      <c r="I310" s="6" t="s">
        <v>44</v>
      </c>
      <c r="J310" s="7" t="s">
        <v>838</v>
      </c>
    </row>
    <row r="311" customFormat="false" ht="15" hidden="false" customHeight="false" outlineLevel="0" collapsed="false">
      <c r="A311" s="6" t="s">
        <v>791</v>
      </c>
      <c r="B311" s="6" t="n">
        <v>4</v>
      </c>
      <c r="C311" s="6" t="n">
        <v>2</v>
      </c>
      <c r="D311" s="6" t="s">
        <v>32</v>
      </c>
      <c r="E311" s="6" t="s">
        <v>49</v>
      </c>
      <c r="F311" s="6"/>
      <c r="G311" s="6" t="s">
        <v>145</v>
      </c>
      <c r="H311" s="6" t="s">
        <v>839</v>
      </c>
      <c r="I311" s="6" t="s">
        <v>64</v>
      </c>
      <c r="J311" s="7" t="s">
        <v>840</v>
      </c>
    </row>
    <row r="312" customFormat="false" ht="15" hidden="false" customHeight="false" outlineLevel="0" collapsed="false">
      <c r="A312" s="6" t="s">
        <v>791</v>
      </c>
      <c r="B312" s="6" t="n">
        <v>5</v>
      </c>
      <c r="C312" s="6" t="n">
        <v>2</v>
      </c>
      <c r="D312" s="6" t="s">
        <v>32</v>
      </c>
      <c r="E312" s="6" t="s">
        <v>841</v>
      </c>
      <c r="F312" s="6"/>
      <c r="G312" s="6" t="s">
        <v>842</v>
      </c>
      <c r="H312" s="6" t="s">
        <v>843</v>
      </c>
      <c r="I312" s="6" t="s">
        <v>204</v>
      </c>
      <c r="J312" s="7" t="s">
        <v>844</v>
      </c>
    </row>
    <row r="313" customFormat="false" ht="15" hidden="false" customHeight="false" outlineLevel="0" collapsed="false">
      <c r="A313" s="6" t="s">
        <v>791</v>
      </c>
      <c r="B313" s="6" t="n">
        <v>6</v>
      </c>
      <c r="C313" s="6" t="n">
        <v>2</v>
      </c>
      <c r="D313" s="6" t="s">
        <v>42</v>
      </c>
      <c r="E313" s="6" t="s">
        <v>66</v>
      </c>
      <c r="F313" s="6"/>
      <c r="G313" s="6" t="s">
        <v>845</v>
      </c>
      <c r="H313" s="6" t="s">
        <v>846</v>
      </c>
      <c r="I313" s="6" t="s">
        <v>40</v>
      </c>
      <c r="J313" s="7" t="s">
        <v>847</v>
      </c>
    </row>
    <row r="314" customFormat="false" ht="15" hidden="false" customHeight="false" outlineLevel="0" collapsed="false">
      <c r="A314" s="6" t="s">
        <v>791</v>
      </c>
      <c r="B314" s="6" t="n">
        <v>7</v>
      </c>
      <c r="C314" s="6" t="n">
        <v>2</v>
      </c>
      <c r="D314" s="6" t="s">
        <v>42</v>
      </c>
      <c r="E314" s="6" t="s">
        <v>848</v>
      </c>
      <c r="F314" s="6"/>
      <c r="G314" s="6" t="s">
        <v>849</v>
      </c>
      <c r="H314" s="6" t="s">
        <v>850</v>
      </c>
      <c r="I314" s="6" t="s">
        <v>51</v>
      </c>
      <c r="J314" s="7" t="s">
        <v>851</v>
      </c>
    </row>
    <row r="315" customFormat="false" ht="15" hidden="false" customHeight="false" outlineLevel="0" collapsed="false">
      <c r="A315" s="6" t="s">
        <v>791</v>
      </c>
      <c r="B315" s="6" t="n">
        <v>13</v>
      </c>
      <c r="C315" s="6" t="n">
        <v>2</v>
      </c>
      <c r="D315" s="6" t="s">
        <v>42</v>
      </c>
      <c r="E315" s="6" t="s">
        <v>33</v>
      </c>
      <c r="F315" s="6"/>
      <c r="G315" s="6" t="s">
        <v>852</v>
      </c>
      <c r="H315" s="6" t="s">
        <v>853</v>
      </c>
      <c r="I315" s="6" t="s">
        <v>278</v>
      </c>
      <c r="J315" s="7" t="s">
        <v>854</v>
      </c>
    </row>
    <row r="316" customFormat="false" ht="15" hidden="false" customHeight="false" outlineLevel="0" collapsed="false">
      <c r="A316" s="6" t="s">
        <v>791</v>
      </c>
      <c r="B316" s="6" t="n">
        <v>14</v>
      </c>
      <c r="C316" s="6" t="n">
        <v>2</v>
      </c>
      <c r="D316" s="6" t="s">
        <v>42</v>
      </c>
      <c r="E316" s="6" t="s">
        <v>55</v>
      </c>
      <c r="F316" s="6"/>
      <c r="G316" s="6" t="s">
        <v>208</v>
      </c>
      <c r="H316" s="6" t="s">
        <v>855</v>
      </c>
      <c r="I316" s="6" t="s">
        <v>209</v>
      </c>
      <c r="J316" s="7" t="s">
        <v>856</v>
      </c>
    </row>
    <row r="317" customFormat="false" ht="15" hidden="false" customHeight="false" outlineLevel="0" collapsed="false">
      <c r="A317" s="6" t="s">
        <v>791</v>
      </c>
      <c r="B317" s="6" t="n">
        <v>17</v>
      </c>
      <c r="C317" s="6" t="n">
        <v>2</v>
      </c>
      <c r="D317" s="6" t="s">
        <v>42</v>
      </c>
      <c r="E317" s="6" t="s">
        <v>49</v>
      </c>
      <c r="F317" s="6"/>
      <c r="G317" s="6" t="s">
        <v>700</v>
      </c>
      <c r="H317" s="6" t="s">
        <v>701</v>
      </c>
      <c r="I317" s="6" t="s">
        <v>462</v>
      </c>
      <c r="J317" s="7" t="s">
        <v>857</v>
      </c>
    </row>
    <row r="318" customFormat="false" ht="15" hidden="false" customHeight="false" outlineLevel="0" collapsed="false">
      <c r="A318" s="6" t="s">
        <v>791</v>
      </c>
      <c r="B318" s="6" t="n">
        <v>18</v>
      </c>
      <c r="C318" s="6" t="n">
        <v>2</v>
      </c>
      <c r="D318" s="6" t="s">
        <v>42</v>
      </c>
      <c r="E318" s="6" t="s">
        <v>49</v>
      </c>
      <c r="F318" s="6"/>
      <c r="G318" s="6" t="s">
        <v>858</v>
      </c>
      <c r="H318" s="6" t="s">
        <v>859</v>
      </c>
      <c r="I318" s="6" t="s">
        <v>51</v>
      </c>
      <c r="J318" s="7" t="s">
        <v>860</v>
      </c>
    </row>
    <row r="319" customFormat="false" ht="15" hidden="false" customHeight="false" outlineLevel="0" collapsed="false">
      <c r="A319" s="6" t="s">
        <v>791</v>
      </c>
      <c r="B319" s="6" t="n">
        <v>20</v>
      </c>
      <c r="C319" s="6" t="n">
        <v>2</v>
      </c>
      <c r="D319" s="6" t="s">
        <v>32</v>
      </c>
      <c r="E319" s="6" t="s">
        <v>33</v>
      </c>
      <c r="F319" s="6"/>
      <c r="G319" s="6" t="s">
        <v>861</v>
      </c>
      <c r="H319" s="6" t="s">
        <v>862</v>
      </c>
      <c r="I319" s="6" t="s">
        <v>407</v>
      </c>
      <c r="J319" s="7" t="s">
        <v>863</v>
      </c>
    </row>
    <row r="320" customFormat="false" ht="15" hidden="false" customHeight="false" outlineLevel="0" collapsed="false">
      <c r="A320" s="6" t="s">
        <v>791</v>
      </c>
      <c r="B320" s="6" t="n">
        <v>21</v>
      </c>
      <c r="C320" s="6" t="n">
        <v>2</v>
      </c>
      <c r="D320" s="6" t="s">
        <v>42</v>
      </c>
      <c r="E320" s="6" t="s">
        <v>49</v>
      </c>
      <c r="F320" s="6"/>
      <c r="G320" s="6" t="s">
        <v>864</v>
      </c>
      <c r="H320" s="6" t="s">
        <v>865</v>
      </c>
      <c r="I320" s="6" t="s">
        <v>104</v>
      </c>
      <c r="J320" s="7" t="s">
        <v>866</v>
      </c>
    </row>
    <row r="321" customFormat="false" ht="15" hidden="false" customHeight="false" outlineLevel="0" collapsed="false">
      <c r="A321" s="6" t="s">
        <v>791</v>
      </c>
      <c r="B321" s="6" t="n">
        <v>22</v>
      </c>
      <c r="C321" s="6" t="n">
        <v>2</v>
      </c>
      <c r="D321" s="6" t="s">
        <v>42</v>
      </c>
      <c r="E321" s="6" t="s">
        <v>38</v>
      </c>
      <c r="F321" s="6"/>
      <c r="G321" s="6" t="s">
        <v>74</v>
      </c>
      <c r="H321" s="6" t="s">
        <v>867</v>
      </c>
      <c r="I321" s="6" t="s">
        <v>47</v>
      </c>
      <c r="J321" s="7" t="s">
        <v>868</v>
      </c>
    </row>
    <row r="322" customFormat="false" ht="15" hidden="false" customHeight="false" outlineLevel="0" collapsed="false">
      <c r="A322" s="6" t="s">
        <v>791</v>
      </c>
      <c r="B322" s="6" t="n">
        <v>26</v>
      </c>
      <c r="C322" s="6" t="n">
        <v>2</v>
      </c>
      <c r="D322" s="6" t="s">
        <v>42</v>
      </c>
      <c r="E322" s="6" t="s">
        <v>66</v>
      </c>
      <c r="F322" s="6"/>
      <c r="G322" s="6" t="s">
        <v>869</v>
      </c>
      <c r="H322" s="6" t="s">
        <v>870</v>
      </c>
      <c r="I322" s="6" t="s">
        <v>178</v>
      </c>
      <c r="J322" s="7" t="s">
        <v>871</v>
      </c>
    </row>
    <row r="323" customFormat="false" ht="15" hidden="false" customHeight="false" outlineLevel="0" collapsed="false">
      <c r="A323" s="6" t="s">
        <v>791</v>
      </c>
      <c r="B323" s="6" t="n">
        <v>27</v>
      </c>
      <c r="C323" s="6" t="n">
        <v>2</v>
      </c>
      <c r="D323" s="6" t="s">
        <v>42</v>
      </c>
      <c r="E323" s="6" t="s">
        <v>49</v>
      </c>
      <c r="F323" s="6"/>
      <c r="G323" s="6" t="s">
        <v>872</v>
      </c>
      <c r="H323" s="6" t="s">
        <v>873</v>
      </c>
      <c r="I323" s="6" t="s">
        <v>204</v>
      </c>
      <c r="J323" s="7" t="s">
        <v>874</v>
      </c>
    </row>
    <row r="324" customFormat="false" ht="15" hidden="false" customHeight="false" outlineLevel="0" collapsed="false">
      <c r="A324" s="6" t="s">
        <v>791</v>
      </c>
      <c r="B324" s="6" t="n">
        <v>28</v>
      </c>
      <c r="C324" s="6" t="n">
        <v>2</v>
      </c>
      <c r="D324" s="6" t="s">
        <v>42</v>
      </c>
      <c r="E324" s="6" t="s">
        <v>38</v>
      </c>
      <c r="F324" s="6"/>
      <c r="G324" s="6" t="s">
        <v>123</v>
      </c>
      <c r="H324" s="6" t="s">
        <v>875</v>
      </c>
      <c r="I324" s="6" t="s">
        <v>51</v>
      </c>
      <c r="J324" s="7" t="s">
        <v>876</v>
      </c>
    </row>
    <row r="325" customFormat="false" ht="15" hidden="false" customHeight="false" outlineLevel="0" collapsed="false">
      <c r="A325" s="6" t="s">
        <v>791</v>
      </c>
      <c r="B325" s="6" t="n">
        <v>29</v>
      </c>
      <c r="C325" s="6" t="n">
        <v>2</v>
      </c>
      <c r="D325" s="6" t="s">
        <v>42</v>
      </c>
      <c r="E325" s="6" t="s">
        <v>49</v>
      </c>
      <c r="F325" s="6"/>
      <c r="G325" s="6" t="s">
        <v>189</v>
      </c>
      <c r="H325" s="6" t="s">
        <v>877</v>
      </c>
      <c r="I325" s="6" t="s">
        <v>47</v>
      </c>
      <c r="J325" s="7" t="s">
        <v>878</v>
      </c>
    </row>
    <row r="326" customFormat="false" ht="15" hidden="false" customHeight="false" outlineLevel="0" collapsed="false">
      <c r="A326" s="6" t="s">
        <v>791</v>
      </c>
      <c r="B326" s="6" t="n">
        <v>30</v>
      </c>
      <c r="C326" s="6" t="n">
        <v>2</v>
      </c>
      <c r="D326" s="6" t="s">
        <v>42</v>
      </c>
      <c r="E326" s="6" t="s">
        <v>879</v>
      </c>
      <c r="F326" s="6"/>
      <c r="G326" s="6" t="s">
        <v>880</v>
      </c>
      <c r="H326" s="6" t="s">
        <v>881</v>
      </c>
      <c r="I326" s="6" t="s">
        <v>111</v>
      </c>
      <c r="J326" s="7" t="s">
        <v>882</v>
      </c>
    </row>
    <row r="327" customFormat="false" ht="15" hidden="false" customHeight="false" outlineLevel="0" collapsed="false">
      <c r="A327" s="6" t="s">
        <v>791</v>
      </c>
      <c r="B327" s="6" t="n">
        <v>31</v>
      </c>
      <c r="C327" s="6" t="n">
        <v>2</v>
      </c>
      <c r="D327" s="6" t="s">
        <v>42</v>
      </c>
      <c r="E327" s="6" t="s">
        <v>49</v>
      </c>
      <c r="F327" s="6"/>
      <c r="G327" s="6" t="s">
        <v>141</v>
      </c>
      <c r="H327" s="6" t="s">
        <v>883</v>
      </c>
      <c r="I327" s="6" t="s">
        <v>143</v>
      </c>
      <c r="J327" s="7" t="s">
        <v>884</v>
      </c>
    </row>
    <row r="328" customFormat="false" ht="15" hidden="false" customHeight="false" outlineLevel="0" collapsed="false">
      <c r="A328" s="6" t="s">
        <v>791</v>
      </c>
      <c r="B328" s="6" t="n">
        <v>32</v>
      </c>
      <c r="C328" s="6" t="n">
        <v>2</v>
      </c>
      <c r="D328" s="6" t="s">
        <v>42</v>
      </c>
      <c r="E328" s="6" t="s">
        <v>885</v>
      </c>
      <c r="F328" s="6"/>
      <c r="G328" s="6" t="s">
        <v>886</v>
      </c>
      <c r="H328" s="6" t="s">
        <v>887</v>
      </c>
      <c r="I328" s="6" t="s">
        <v>61</v>
      </c>
      <c r="J328" s="7" t="s">
        <v>888</v>
      </c>
    </row>
    <row r="329" customFormat="false" ht="15" hidden="false" customHeight="false" outlineLevel="0" collapsed="false">
      <c r="A329" s="6" t="s">
        <v>791</v>
      </c>
      <c r="B329" s="6" t="n">
        <v>33</v>
      </c>
      <c r="C329" s="6" t="n">
        <v>2</v>
      </c>
      <c r="D329" s="6" t="s">
        <v>42</v>
      </c>
      <c r="E329" s="6" t="s">
        <v>49</v>
      </c>
      <c r="F329" s="6"/>
      <c r="G329" s="6" t="s">
        <v>714</v>
      </c>
      <c r="H329" s="6" t="s">
        <v>715</v>
      </c>
      <c r="I329" s="6" t="s">
        <v>104</v>
      </c>
      <c r="J329" s="7" t="s">
        <v>889</v>
      </c>
    </row>
    <row r="330" customFormat="false" ht="15" hidden="false" customHeight="false" outlineLevel="0" collapsed="false">
      <c r="A330" s="6" t="s">
        <v>890</v>
      </c>
      <c r="B330" s="6" t="n">
        <v>4</v>
      </c>
      <c r="C330" s="6" t="n">
        <v>1</v>
      </c>
      <c r="D330" s="6" t="s">
        <v>32</v>
      </c>
      <c r="E330" s="6" t="s">
        <v>49</v>
      </c>
      <c r="F330" s="6"/>
      <c r="G330" s="6" t="s">
        <v>187</v>
      </c>
      <c r="H330" s="6" t="s">
        <v>891</v>
      </c>
      <c r="I330" s="6" t="s">
        <v>181</v>
      </c>
      <c r="J330" s="7" t="s">
        <v>892</v>
      </c>
    </row>
    <row r="331" customFormat="false" ht="15" hidden="false" customHeight="false" outlineLevel="0" collapsed="false">
      <c r="A331" s="6" t="s">
        <v>890</v>
      </c>
      <c r="B331" s="6" t="n">
        <v>5</v>
      </c>
      <c r="C331" s="6" t="n">
        <v>1</v>
      </c>
      <c r="D331" s="6" t="s">
        <v>32</v>
      </c>
      <c r="E331" s="6" t="s">
        <v>49</v>
      </c>
      <c r="F331" s="6"/>
      <c r="G331" s="6" t="s">
        <v>106</v>
      </c>
      <c r="H331" s="6" t="s">
        <v>800</v>
      </c>
      <c r="I331" s="6" t="s">
        <v>51</v>
      </c>
      <c r="J331" s="7" t="s">
        <v>107</v>
      </c>
    </row>
    <row r="332" customFormat="false" ht="15" hidden="false" customHeight="false" outlineLevel="0" collapsed="false">
      <c r="A332" s="6" t="s">
        <v>890</v>
      </c>
      <c r="B332" s="6" t="n">
        <v>6</v>
      </c>
      <c r="C332" s="6" t="n">
        <v>1</v>
      </c>
      <c r="D332" s="6" t="s">
        <v>42</v>
      </c>
      <c r="E332" s="6" t="s">
        <v>55</v>
      </c>
      <c r="F332" s="6"/>
      <c r="G332" s="6" t="s">
        <v>56</v>
      </c>
      <c r="H332" s="6" t="s">
        <v>670</v>
      </c>
      <c r="I332" s="6" t="s">
        <v>58</v>
      </c>
      <c r="J332" s="7" t="s">
        <v>671</v>
      </c>
    </row>
    <row r="333" customFormat="false" ht="15" hidden="false" customHeight="false" outlineLevel="0" collapsed="false">
      <c r="A333" s="6" t="s">
        <v>890</v>
      </c>
      <c r="B333" s="6" t="n">
        <v>7</v>
      </c>
      <c r="C333" s="6" t="n">
        <v>1</v>
      </c>
      <c r="D333" s="6" t="s">
        <v>42</v>
      </c>
      <c r="E333" s="6" t="s">
        <v>679</v>
      </c>
      <c r="F333" s="6"/>
      <c r="G333" s="6" t="s">
        <v>680</v>
      </c>
      <c r="H333" s="6" t="s">
        <v>681</v>
      </c>
      <c r="I333" s="6" t="s">
        <v>104</v>
      </c>
      <c r="J333" s="7" t="s">
        <v>893</v>
      </c>
    </row>
    <row r="334" customFormat="false" ht="15" hidden="false" customHeight="false" outlineLevel="0" collapsed="false">
      <c r="A334" s="6" t="s">
        <v>890</v>
      </c>
      <c r="B334" s="6" t="n">
        <v>8</v>
      </c>
      <c r="C334" s="6" t="n">
        <v>1</v>
      </c>
      <c r="D334" s="6" t="s">
        <v>32</v>
      </c>
      <c r="E334" s="6" t="s">
        <v>49</v>
      </c>
      <c r="F334" s="6"/>
      <c r="G334" s="6" t="s">
        <v>687</v>
      </c>
      <c r="H334" s="6" t="s">
        <v>688</v>
      </c>
      <c r="I334" s="6" t="s">
        <v>51</v>
      </c>
      <c r="J334" s="7" t="s">
        <v>689</v>
      </c>
    </row>
    <row r="335" customFormat="false" ht="15" hidden="false" customHeight="false" outlineLevel="0" collapsed="false">
      <c r="A335" s="6" t="s">
        <v>890</v>
      </c>
      <c r="B335" s="6" t="n">
        <v>9</v>
      </c>
      <c r="C335" s="6" t="n">
        <v>1</v>
      </c>
      <c r="D335" s="6" t="s">
        <v>32</v>
      </c>
      <c r="E335" s="6" t="s">
        <v>49</v>
      </c>
      <c r="F335" s="6"/>
      <c r="G335" s="6" t="s">
        <v>194</v>
      </c>
      <c r="H335" s="6" t="s">
        <v>690</v>
      </c>
      <c r="I335" s="6" t="s">
        <v>128</v>
      </c>
      <c r="J335" s="7" t="s">
        <v>691</v>
      </c>
    </row>
    <row r="336" customFormat="false" ht="15" hidden="false" customHeight="false" outlineLevel="0" collapsed="false">
      <c r="A336" s="6" t="s">
        <v>890</v>
      </c>
      <c r="B336" s="6" t="n">
        <v>13</v>
      </c>
      <c r="C336" s="6" t="n">
        <v>1</v>
      </c>
      <c r="D336" s="6" t="s">
        <v>42</v>
      </c>
      <c r="E336" s="6" t="s">
        <v>38</v>
      </c>
      <c r="F336" s="6"/>
      <c r="G336" s="6" t="s">
        <v>39</v>
      </c>
      <c r="H336" s="6" t="s">
        <v>894</v>
      </c>
      <c r="I336" s="6" t="s">
        <v>40</v>
      </c>
      <c r="J336" s="7" t="s">
        <v>895</v>
      </c>
    </row>
    <row r="337" customFormat="false" ht="15" hidden="false" customHeight="false" outlineLevel="0" collapsed="false">
      <c r="A337" s="6" t="s">
        <v>890</v>
      </c>
      <c r="B337" s="6" t="n">
        <v>14</v>
      </c>
      <c r="C337" s="6" t="n">
        <v>1</v>
      </c>
      <c r="D337" s="6" t="s">
        <v>42</v>
      </c>
      <c r="E337" s="6" t="s">
        <v>38</v>
      </c>
      <c r="F337" s="6"/>
      <c r="G337" s="6" t="s">
        <v>896</v>
      </c>
      <c r="H337" s="6" t="s">
        <v>897</v>
      </c>
      <c r="I337" s="6" t="s">
        <v>201</v>
      </c>
      <c r="J337" s="7" t="s">
        <v>898</v>
      </c>
    </row>
    <row r="338" customFormat="false" ht="15" hidden="false" customHeight="false" outlineLevel="0" collapsed="false">
      <c r="A338" s="6" t="s">
        <v>890</v>
      </c>
      <c r="B338" s="6" t="n">
        <v>15</v>
      </c>
      <c r="C338" s="6" t="n">
        <v>1</v>
      </c>
      <c r="D338" s="6" t="s">
        <v>32</v>
      </c>
      <c r="E338" s="6" t="s">
        <v>49</v>
      </c>
      <c r="F338" s="6"/>
      <c r="G338" s="6" t="s">
        <v>899</v>
      </c>
      <c r="H338" s="6" t="s">
        <v>900</v>
      </c>
      <c r="I338" s="6" t="s">
        <v>212</v>
      </c>
      <c r="J338" s="7" t="s">
        <v>901</v>
      </c>
    </row>
    <row r="339" customFormat="false" ht="15" hidden="false" customHeight="false" outlineLevel="0" collapsed="false">
      <c r="A339" s="6" t="s">
        <v>890</v>
      </c>
      <c r="B339" s="6" t="n">
        <v>16</v>
      </c>
      <c r="C339" s="6" t="n">
        <v>1</v>
      </c>
      <c r="D339" s="6" t="s">
        <v>32</v>
      </c>
      <c r="E339" s="6" t="s">
        <v>49</v>
      </c>
      <c r="F339" s="6"/>
      <c r="G339" s="6" t="s">
        <v>103</v>
      </c>
      <c r="H339" s="6" t="s">
        <v>669</v>
      </c>
      <c r="I339" s="6" t="s">
        <v>104</v>
      </c>
      <c r="J339" s="7" t="s">
        <v>105</v>
      </c>
    </row>
    <row r="340" customFormat="false" ht="15" hidden="false" customHeight="false" outlineLevel="0" collapsed="false">
      <c r="A340" s="6" t="s">
        <v>890</v>
      </c>
      <c r="B340" s="6" t="n">
        <v>17</v>
      </c>
      <c r="C340" s="6" t="n">
        <v>1</v>
      </c>
      <c r="D340" s="6" t="s">
        <v>42</v>
      </c>
      <c r="E340" s="6" t="s">
        <v>38</v>
      </c>
      <c r="F340" s="6"/>
      <c r="G340" s="6" t="s">
        <v>717</v>
      </c>
      <c r="H340" s="6" t="s">
        <v>718</v>
      </c>
      <c r="I340" s="6" t="s">
        <v>51</v>
      </c>
      <c r="J340" s="7" t="s">
        <v>902</v>
      </c>
    </row>
    <row r="341" customFormat="false" ht="15" hidden="false" customHeight="false" outlineLevel="0" collapsed="false">
      <c r="A341" s="6" t="s">
        <v>890</v>
      </c>
      <c r="B341" s="6" t="n">
        <v>18</v>
      </c>
      <c r="C341" s="6" t="n">
        <v>1</v>
      </c>
      <c r="D341" s="6" t="s">
        <v>42</v>
      </c>
      <c r="E341" s="6" t="s">
        <v>49</v>
      </c>
      <c r="F341" s="6"/>
      <c r="G341" s="6" t="s">
        <v>714</v>
      </c>
      <c r="H341" s="6" t="s">
        <v>715</v>
      </c>
      <c r="I341" s="6" t="s">
        <v>104</v>
      </c>
      <c r="J341" s="7" t="s">
        <v>903</v>
      </c>
    </row>
    <row r="342" customFormat="false" ht="15" hidden="false" customHeight="false" outlineLevel="0" collapsed="false">
      <c r="A342" s="6" t="s">
        <v>890</v>
      </c>
      <c r="B342" s="6" t="n">
        <v>19</v>
      </c>
      <c r="C342" s="6" t="n">
        <v>1</v>
      </c>
      <c r="D342" s="6" t="s">
        <v>42</v>
      </c>
      <c r="E342" s="6" t="s">
        <v>33</v>
      </c>
      <c r="F342" s="6"/>
      <c r="G342" s="6" t="s">
        <v>198</v>
      </c>
      <c r="H342" s="6" t="s">
        <v>904</v>
      </c>
      <c r="I342" s="6" t="s">
        <v>51</v>
      </c>
      <c r="J342" s="7" t="s">
        <v>905</v>
      </c>
    </row>
    <row r="343" customFormat="false" ht="15" hidden="false" customHeight="false" outlineLevel="0" collapsed="false">
      <c r="A343" s="6" t="s">
        <v>890</v>
      </c>
      <c r="B343" s="6" t="n">
        <v>20</v>
      </c>
      <c r="C343" s="6" t="n">
        <v>1</v>
      </c>
      <c r="D343" s="6" t="s">
        <v>42</v>
      </c>
      <c r="E343" s="6" t="s">
        <v>683</v>
      </c>
      <c r="F343" s="6"/>
      <c r="G343" s="6" t="s">
        <v>906</v>
      </c>
      <c r="H343" s="6" t="s">
        <v>907</v>
      </c>
      <c r="I343" s="6" t="s">
        <v>908</v>
      </c>
      <c r="J343" s="7" t="s">
        <v>909</v>
      </c>
    </row>
    <row r="344" customFormat="false" ht="15" hidden="false" customHeight="false" outlineLevel="0" collapsed="false">
      <c r="A344" s="6" t="s">
        <v>890</v>
      </c>
      <c r="B344" s="6" t="n">
        <v>21</v>
      </c>
      <c r="C344" s="6" t="n">
        <v>1</v>
      </c>
      <c r="D344" s="6" t="s">
        <v>42</v>
      </c>
      <c r="E344" s="6" t="s">
        <v>33</v>
      </c>
      <c r="F344" s="6"/>
      <c r="G344" s="6" t="s">
        <v>910</v>
      </c>
      <c r="H344" s="6" t="s">
        <v>911</v>
      </c>
      <c r="I344" s="6" t="s">
        <v>388</v>
      </c>
      <c r="J344" s="7" t="s">
        <v>912</v>
      </c>
    </row>
    <row r="345" customFormat="false" ht="15" hidden="false" customHeight="false" outlineLevel="0" collapsed="false">
      <c r="A345" s="6" t="s">
        <v>890</v>
      </c>
      <c r="B345" s="6" t="n">
        <v>26</v>
      </c>
      <c r="C345" s="6" t="n">
        <v>1</v>
      </c>
      <c r="D345" s="6" t="s">
        <v>42</v>
      </c>
      <c r="E345" s="6" t="s">
        <v>49</v>
      </c>
      <c r="F345" s="6"/>
      <c r="G345" s="6" t="s">
        <v>672</v>
      </c>
      <c r="H345" s="6" t="s">
        <v>673</v>
      </c>
      <c r="I345" s="6" t="s">
        <v>229</v>
      </c>
      <c r="J345" s="7" t="s">
        <v>913</v>
      </c>
    </row>
    <row r="346" customFormat="false" ht="15" hidden="false" customHeight="false" outlineLevel="0" collapsed="false">
      <c r="A346" s="6" t="s">
        <v>890</v>
      </c>
      <c r="B346" s="6" t="n">
        <v>27</v>
      </c>
      <c r="C346" s="6" t="n">
        <v>1</v>
      </c>
      <c r="D346" s="6" t="s">
        <v>42</v>
      </c>
      <c r="E346" s="6" t="s">
        <v>38</v>
      </c>
      <c r="F346" s="6"/>
      <c r="G346" s="6" t="s">
        <v>138</v>
      </c>
      <c r="H346" s="6" t="s">
        <v>706</v>
      </c>
      <c r="I346" s="6" t="s">
        <v>104</v>
      </c>
      <c r="J346" s="7" t="s">
        <v>914</v>
      </c>
    </row>
    <row r="347" customFormat="false" ht="15" hidden="false" customHeight="false" outlineLevel="0" collapsed="false">
      <c r="A347" s="6" t="s">
        <v>890</v>
      </c>
      <c r="B347" s="6" t="n">
        <v>28</v>
      </c>
      <c r="C347" s="6" t="n">
        <v>1</v>
      </c>
      <c r="D347" s="6" t="s">
        <v>42</v>
      </c>
      <c r="E347" s="6" t="s">
        <v>38</v>
      </c>
      <c r="F347" s="6"/>
      <c r="G347" s="6" t="s">
        <v>127</v>
      </c>
      <c r="H347" s="6" t="s">
        <v>915</v>
      </c>
      <c r="I347" s="6" t="s">
        <v>128</v>
      </c>
      <c r="J347" s="7" t="s">
        <v>916</v>
      </c>
    </row>
    <row r="348" customFormat="false" ht="15" hidden="false" customHeight="false" outlineLevel="0" collapsed="false">
      <c r="A348" s="6" t="s">
        <v>890</v>
      </c>
      <c r="B348" s="6" t="n">
        <v>29</v>
      </c>
      <c r="C348" s="6" t="n">
        <v>1</v>
      </c>
      <c r="D348" s="6" t="s">
        <v>42</v>
      </c>
      <c r="E348" s="6" t="s">
        <v>38</v>
      </c>
      <c r="F348" s="6"/>
      <c r="G348" s="6" t="s">
        <v>917</v>
      </c>
      <c r="H348" s="6" t="s">
        <v>918</v>
      </c>
      <c r="I348" s="6" t="s">
        <v>51</v>
      </c>
      <c r="J348" s="7" t="s">
        <v>919</v>
      </c>
    </row>
    <row r="349" customFormat="false" ht="15" hidden="false" customHeight="false" outlineLevel="0" collapsed="false">
      <c r="A349" s="6" t="s">
        <v>890</v>
      </c>
      <c r="B349" s="6" t="n">
        <v>30</v>
      </c>
      <c r="C349" s="6" t="n">
        <v>1</v>
      </c>
      <c r="D349" s="6" t="s">
        <v>42</v>
      </c>
      <c r="E349" s="6" t="s">
        <v>38</v>
      </c>
      <c r="F349" s="6"/>
      <c r="G349" s="6" t="s">
        <v>133</v>
      </c>
      <c r="H349" s="6" t="s">
        <v>789</v>
      </c>
      <c r="I349" s="6" t="s">
        <v>40</v>
      </c>
      <c r="J349" s="7" t="s">
        <v>920</v>
      </c>
    </row>
    <row r="350" customFormat="false" ht="15" hidden="false" customHeight="false" outlineLevel="0" collapsed="false">
      <c r="A350" s="6" t="s">
        <v>890</v>
      </c>
      <c r="B350" s="6" t="n">
        <v>32</v>
      </c>
      <c r="C350" s="6" t="n">
        <v>1</v>
      </c>
      <c r="D350" s="6" t="s">
        <v>42</v>
      </c>
      <c r="E350" s="6" t="s">
        <v>49</v>
      </c>
      <c r="F350" s="6"/>
      <c r="G350" s="6" t="s">
        <v>921</v>
      </c>
      <c r="H350" s="6" t="s">
        <v>756</v>
      </c>
      <c r="I350" s="6" t="s">
        <v>757</v>
      </c>
      <c r="J350" s="7" t="s">
        <v>922</v>
      </c>
    </row>
    <row r="351" customFormat="false" ht="15" hidden="false" customHeight="false" outlineLevel="0" collapsed="false">
      <c r="A351" s="6" t="s">
        <v>890</v>
      </c>
      <c r="B351" s="6" t="n">
        <v>3</v>
      </c>
      <c r="C351" s="6" t="n">
        <v>2</v>
      </c>
      <c r="D351" s="6" t="s">
        <v>32</v>
      </c>
      <c r="E351" s="6" t="s">
        <v>49</v>
      </c>
      <c r="F351" s="6"/>
      <c r="G351" s="6" t="s">
        <v>793</v>
      </c>
      <c r="H351" s="6" t="s">
        <v>794</v>
      </c>
      <c r="I351" s="6" t="s">
        <v>104</v>
      </c>
      <c r="J351" s="7" t="s">
        <v>795</v>
      </c>
    </row>
    <row r="352" customFormat="false" ht="15" hidden="false" customHeight="false" outlineLevel="0" collapsed="false">
      <c r="A352" s="6" t="s">
        <v>890</v>
      </c>
      <c r="B352" s="6" t="n">
        <v>6</v>
      </c>
      <c r="C352" s="6" t="n">
        <v>2</v>
      </c>
      <c r="D352" s="6" t="s">
        <v>42</v>
      </c>
      <c r="E352" s="6" t="s">
        <v>38</v>
      </c>
      <c r="F352" s="6"/>
      <c r="G352" s="6" t="s">
        <v>923</v>
      </c>
      <c r="H352" s="6" t="s">
        <v>924</v>
      </c>
      <c r="I352" s="6" t="s">
        <v>925</v>
      </c>
      <c r="J352" s="7" t="s">
        <v>926</v>
      </c>
    </row>
    <row r="353" customFormat="false" ht="15" hidden="false" customHeight="false" outlineLevel="0" collapsed="false">
      <c r="A353" s="6" t="s">
        <v>890</v>
      </c>
      <c r="B353" s="6" t="n">
        <v>7</v>
      </c>
      <c r="C353" s="6" t="n">
        <v>2</v>
      </c>
      <c r="D353" s="6" t="s">
        <v>42</v>
      </c>
      <c r="E353" s="6" t="s">
        <v>49</v>
      </c>
      <c r="F353" s="6"/>
      <c r="G353" s="6" t="s">
        <v>703</v>
      </c>
      <c r="H353" s="6" t="s">
        <v>704</v>
      </c>
      <c r="I353" s="6" t="s">
        <v>216</v>
      </c>
      <c r="J353" s="7" t="s">
        <v>927</v>
      </c>
    </row>
    <row r="354" customFormat="false" ht="15" hidden="false" customHeight="false" outlineLevel="0" collapsed="false">
      <c r="A354" s="6" t="s">
        <v>890</v>
      </c>
      <c r="B354" s="6" t="n">
        <v>9</v>
      </c>
      <c r="C354" s="6" t="n">
        <v>2</v>
      </c>
      <c r="D354" s="6" t="s">
        <v>32</v>
      </c>
      <c r="E354" s="6" t="s">
        <v>218</v>
      </c>
      <c r="F354" s="6"/>
      <c r="G354" s="6" t="s">
        <v>928</v>
      </c>
      <c r="H354" s="6" t="s">
        <v>929</v>
      </c>
      <c r="I354" s="6" t="s">
        <v>930</v>
      </c>
      <c r="J354" s="7" t="s">
        <v>931</v>
      </c>
    </row>
    <row r="355" customFormat="false" ht="15" hidden="false" customHeight="false" outlineLevel="0" collapsed="false">
      <c r="A355" s="6" t="s">
        <v>890</v>
      </c>
      <c r="B355" s="6" t="n">
        <v>15</v>
      </c>
      <c r="C355" s="6" t="n">
        <v>2</v>
      </c>
      <c r="D355" s="6" t="s">
        <v>42</v>
      </c>
      <c r="E355" s="6" t="s">
        <v>38</v>
      </c>
      <c r="F355" s="6"/>
      <c r="G355" s="6" t="s">
        <v>711</v>
      </c>
      <c r="H355" s="6" t="s">
        <v>712</v>
      </c>
      <c r="I355" s="6" t="s">
        <v>201</v>
      </c>
      <c r="J355" s="7" t="s">
        <v>932</v>
      </c>
    </row>
    <row r="356" customFormat="false" ht="15" hidden="false" customHeight="false" outlineLevel="0" collapsed="false">
      <c r="A356" s="6" t="s">
        <v>890</v>
      </c>
      <c r="B356" s="6" t="n">
        <v>16</v>
      </c>
      <c r="C356" s="6" t="n">
        <v>2</v>
      </c>
      <c r="D356" s="6" t="s">
        <v>42</v>
      </c>
      <c r="E356" s="6" t="s">
        <v>38</v>
      </c>
      <c r="F356" s="6"/>
      <c r="G356" s="6" t="s">
        <v>933</v>
      </c>
      <c r="H356" s="6" t="s">
        <v>934</v>
      </c>
      <c r="I356" s="6" t="s">
        <v>201</v>
      </c>
      <c r="J356" s="7" t="s">
        <v>935</v>
      </c>
    </row>
    <row r="357" customFormat="false" ht="15" hidden="false" customHeight="false" outlineLevel="0" collapsed="false">
      <c r="A357" s="6" t="s">
        <v>890</v>
      </c>
      <c r="B357" s="6" t="n">
        <v>17</v>
      </c>
      <c r="C357" s="6" t="n">
        <v>2</v>
      </c>
      <c r="D357" s="6" t="s">
        <v>32</v>
      </c>
      <c r="E357" s="6" t="s">
        <v>218</v>
      </c>
      <c r="F357" s="6"/>
      <c r="G357" s="6" t="s">
        <v>936</v>
      </c>
      <c r="H357" s="6" t="s">
        <v>937</v>
      </c>
      <c r="I357" s="6" t="s">
        <v>104</v>
      </c>
      <c r="J357" s="7" t="s">
        <v>938</v>
      </c>
    </row>
    <row r="358" customFormat="false" ht="15" hidden="false" customHeight="false" outlineLevel="0" collapsed="false">
      <c r="A358" s="6" t="s">
        <v>890</v>
      </c>
      <c r="B358" s="6" t="n">
        <v>19</v>
      </c>
      <c r="C358" s="6" t="n">
        <v>2</v>
      </c>
      <c r="D358" s="6" t="s">
        <v>42</v>
      </c>
      <c r="E358" s="6" t="s">
        <v>66</v>
      </c>
      <c r="F358" s="6"/>
      <c r="G358" s="6" t="s">
        <v>261</v>
      </c>
      <c r="H358" s="6" t="s">
        <v>814</v>
      </c>
      <c r="I358" s="6" t="s">
        <v>40</v>
      </c>
      <c r="J358" s="7" t="s">
        <v>939</v>
      </c>
    </row>
    <row r="359" customFormat="false" ht="15" hidden="false" customHeight="false" outlineLevel="0" collapsed="false">
      <c r="A359" s="6" t="s">
        <v>890</v>
      </c>
      <c r="B359" s="6" t="n">
        <v>20</v>
      </c>
      <c r="C359" s="6" t="n">
        <v>2</v>
      </c>
      <c r="D359" s="6" t="s">
        <v>42</v>
      </c>
      <c r="E359" s="6" t="s">
        <v>38</v>
      </c>
      <c r="F359" s="6"/>
      <c r="G359" s="6" t="s">
        <v>940</v>
      </c>
      <c r="H359" s="6" t="s">
        <v>941</v>
      </c>
      <c r="I359" s="6" t="s">
        <v>201</v>
      </c>
      <c r="J359" s="7" t="s">
        <v>942</v>
      </c>
    </row>
    <row r="360" customFormat="false" ht="15" hidden="false" customHeight="false" outlineLevel="0" collapsed="false">
      <c r="A360" s="6" t="s">
        <v>890</v>
      </c>
      <c r="B360" s="6" t="n">
        <v>21</v>
      </c>
      <c r="C360" s="6" t="n">
        <v>2</v>
      </c>
      <c r="D360" s="6" t="s">
        <v>32</v>
      </c>
      <c r="E360" s="6" t="s">
        <v>49</v>
      </c>
      <c r="F360" s="6"/>
      <c r="G360" s="6" t="s">
        <v>943</v>
      </c>
      <c r="H360" s="6" t="s">
        <v>944</v>
      </c>
      <c r="I360" s="6" t="s">
        <v>51</v>
      </c>
      <c r="J360" s="7" t="s">
        <v>945</v>
      </c>
    </row>
    <row r="361" customFormat="false" ht="15" hidden="false" customHeight="false" outlineLevel="0" collapsed="false">
      <c r="A361" s="6" t="s">
        <v>890</v>
      </c>
      <c r="B361" s="6" t="n">
        <v>22</v>
      </c>
      <c r="C361" s="6" t="n">
        <v>2</v>
      </c>
      <c r="D361" s="6" t="s">
        <v>32</v>
      </c>
      <c r="E361" s="6" t="s">
        <v>49</v>
      </c>
      <c r="F361" s="6"/>
      <c r="G361" s="6" t="s">
        <v>726</v>
      </c>
      <c r="H361" s="6" t="s">
        <v>727</v>
      </c>
      <c r="I361" s="6" t="s">
        <v>201</v>
      </c>
      <c r="J361" s="7" t="s">
        <v>728</v>
      </c>
    </row>
    <row r="362" customFormat="false" ht="15" hidden="false" customHeight="false" outlineLevel="0" collapsed="false">
      <c r="A362" s="6" t="s">
        <v>890</v>
      </c>
      <c r="B362" s="6" t="n">
        <v>23</v>
      </c>
      <c r="C362" s="6" t="n">
        <v>2</v>
      </c>
      <c r="D362" s="6" t="s">
        <v>42</v>
      </c>
      <c r="E362" s="6" t="s">
        <v>38</v>
      </c>
      <c r="F362" s="6"/>
      <c r="G362" s="6" t="s">
        <v>267</v>
      </c>
      <c r="H362" s="6" t="s">
        <v>946</v>
      </c>
      <c r="I362" s="6" t="s">
        <v>128</v>
      </c>
      <c r="J362" s="7" t="s">
        <v>947</v>
      </c>
    </row>
    <row r="363" customFormat="false" ht="15" hidden="false" customHeight="false" outlineLevel="0" collapsed="false">
      <c r="A363" s="6" t="s">
        <v>890</v>
      </c>
      <c r="B363" s="6" t="n">
        <v>24</v>
      </c>
      <c r="C363" s="6" t="n">
        <v>2</v>
      </c>
      <c r="D363" s="6" t="s">
        <v>42</v>
      </c>
      <c r="E363" s="6" t="s">
        <v>49</v>
      </c>
      <c r="F363" s="6"/>
      <c r="G363" s="6" t="s">
        <v>53</v>
      </c>
      <c r="H363" s="6" t="s">
        <v>948</v>
      </c>
      <c r="I363" s="6" t="s">
        <v>51</v>
      </c>
      <c r="J363" s="7" t="s">
        <v>949</v>
      </c>
    </row>
    <row r="364" customFormat="false" ht="15" hidden="false" customHeight="false" outlineLevel="0" collapsed="false">
      <c r="A364" s="6" t="s">
        <v>890</v>
      </c>
      <c r="B364" s="6" t="n">
        <v>25</v>
      </c>
      <c r="C364" s="6" t="n">
        <v>2</v>
      </c>
      <c r="D364" s="6" t="s">
        <v>42</v>
      </c>
      <c r="E364" s="6" t="s">
        <v>38</v>
      </c>
      <c r="F364" s="6"/>
      <c r="G364" s="6" t="s">
        <v>692</v>
      </c>
      <c r="H364" s="6" t="s">
        <v>693</v>
      </c>
      <c r="I364" s="6" t="s">
        <v>694</v>
      </c>
      <c r="J364" s="7" t="s">
        <v>950</v>
      </c>
    </row>
    <row r="365" customFormat="false" ht="15" hidden="false" customHeight="false" outlineLevel="0" collapsed="false">
      <c r="A365" s="6" t="s">
        <v>890</v>
      </c>
      <c r="B365" s="6" t="n">
        <v>27</v>
      </c>
      <c r="C365" s="6" t="n">
        <v>2</v>
      </c>
      <c r="D365" s="6" t="s">
        <v>42</v>
      </c>
      <c r="E365" s="6" t="s">
        <v>49</v>
      </c>
      <c r="F365" s="6"/>
      <c r="G365" s="6" t="s">
        <v>214</v>
      </c>
      <c r="H365" s="6" t="s">
        <v>215</v>
      </c>
      <c r="I365" s="6" t="s">
        <v>216</v>
      </c>
      <c r="J365" s="7" t="s">
        <v>951</v>
      </c>
    </row>
    <row r="366" customFormat="false" ht="15" hidden="false" customHeight="false" outlineLevel="0" collapsed="false">
      <c r="A366" s="6" t="s">
        <v>890</v>
      </c>
      <c r="B366" s="6" t="n">
        <v>28</v>
      </c>
      <c r="C366" s="6" t="n">
        <v>2</v>
      </c>
      <c r="D366" s="6" t="s">
        <v>42</v>
      </c>
      <c r="E366" s="6" t="s">
        <v>38</v>
      </c>
      <c r="F366" s="6"/>
      <c r="G366" s="6" t="s">
        <v>952</v>
      </c>
      <c r="H366" s="6" t="s">
        <v>953</v>
      </c>
      <c r="I366" s="6" t="s">
        <v>44</v>
      </c>
      <c r="J366" s="7" t="s">
        <v>954</v>
      </c>
    </row>
    <row r="367" customFormat="false" ht="15" hidden="false" customHeight="false" outlineLevel="0" collapsed="false">
      <c r="A367" s="6" t="s">
        <v>890</v>
      </c>
      <c r="B367" s="6" t="n">
        <v>29</v>
      </c>
      <c r="C367" s="6" t="n">
        <v>2</v>
      </c>
      <c r="D367" s="6" t="s">
        <v>42</v>
      </c>
      <c r="E367" s="6" t="s">
        <v>66</v>
      </c>
      <c r="F367" s="6"/>
      <c r="G367" s="6" t="s">
        <v>955</v>
      </c>
      <c r="H367" s="6" t="s">
        <v>956</v>
      </c>
      <c r="I367" s="6" t="s">
        <v>212</v>
      </c>
      <c r="J367" s="7" t="s">
        <v>957</v>
      </c>
    </row>
    <row r="368" customFormat="false" ht="15" hidden="false" customHeight="false" outlineLevel="0" collapsed="false">
      <c r="A368" s="6" t="s">
        <v>890</v>
      </c>
      <c r="B368" s="6" t="n">
        <v>30</v>
      </c>
      <c r="C368" s="6" t="n">
        <v>2</v>
      </c>
      <c r="D368" s="6" t="s">
        <v>42</v>
      </c>
      <c r="E368" s="6" t="s">
        <v>739</v>
      </c>
      <c r="F368" s="6"/>
      <c r="G368" s="6" t="s">
        <v>740</v>
      </c>
      <c r="H368" s="6" t="s">
        <v>741</v>
      </c>
      <c r="I368" s="6" t="s">
        <v>620</v>
      </c>
      <c r="J368" s="7" t="s">
        <v>958</v>
      </c>
    </row>
    <row r="369" customFormat="false" ht="15" hidden="false" customHeight="false" outlineLevel="0" collapsed="false">
      <c r="A369" s="6" t="s">
        <v>890</v>
      </c>
      <c r="B369" s="6" t="n">
        <v>31</v>
      </c>
      <c r="C369" s="6" t="n">
        <v>2</v>
      </c>
      <c r="D369" s="6" t="s">
        <v>42</v>
      </c>
      <c r="E369" s="6" t="s">
        <v>66</v>
      </c>
      <c r="F369" s="6"/>
      <c r="G369" s="6" t="s">
        <v>959</v>
      </c>
      <c r="H369" s="6" t="s">
        <v>960</v>
      </c>
      <c r="I369" s="6"/>
      <c r="J369" s="7" t="s">
        <v>961</v>
      </c>
    </row>
    <row r="370" customFormat="false" ht="15" hidden="false" customHeight="false" outlineLevel="0" collapsed="false">
      <c r="A370" s="6" t="s">
        <v>890</v>
      </c>
      <c r="B370" s="6" t="n">
        <v>32</v>
      </c>
      <c r="C370" s="6" t="n">
        <v>2</v>
      </c>
      <c r="D370" s="6" t="s">
        <v>42</v>
      </c>
      <c r="E370" s="6" t="s">
        <v>38</v>
      </c>
      <c r="F370" s="6"/>
      <c r="G370" s="6" t="s">
        <v>962</v>
      </c>
      <c r="H370" s="6" t="s">
        <v>963</v>
      </c>
      <c r="I370" s="6" t="s">
        <v>181</v>
      </c>
      <c r="J370" s="7" t="s">
        <v>964</v>
      </c>
    </row>
    <row r="371" customFormat="false" ht="15" hidden="false" customHeight="false" outlineLevel="0" collapsed="false">
      <c r="A371" s="6" t="s">
        <v>965</v>
      </c>
      <c r="B371" s="6" t="n">
        <v>4</v>
      </c>
      <c r="C371" s="6" t="n">
        <v>1</v>
      </c>
      <c r="D371" s="6" t="s">
        <v>32</v>
      </c>
      <c r="E371" s="6" t="s">
        <v>966</v>
      </c>
      <c r="F371" s="6"/>
      <c r="G371" s="6" t="s">
        <v>967</v>
      </c>
      <c r="H371" s="6" t="s">
        <v>968</v>
      </c>
      <c r="I371" s="6" t="s">
        <v>297</v>
      </c>
      <c r="J371" s="7" t="s">
        <v>969</v>
      </c>
    </row>
    <row r="372" customFormat="false" ht="15" hidden="false" customHeight="false" outlineLevel="0" collapsed="false">
      <c r="A372" s="6" t="s">
        <v>965</v>
      </c>
      <c r="B372" s="6" t="n">
        <v>5</v>
      </c>
      <c r="C372" s="6" t="n">
        <v>1</v>
      </c>
      <c r="D372" s="6" t="s">
        <v>32</v>
      </c>
      <c r="E372" s="6" t="s">
        <v>305</v>
      </c>
      <c r="F372" s="6"/>
      <c r="G372" s="6" t="s">
        <v>970</v>
      </c>
      <c r="H372" s="6" t="s">
        <v>971</v>
      </c>
      <c r="I372" s="6" t="s">
        <v>407</v>
      </c>
      <c r="J372" s="7" t="s">
        <v>972</v>
      </c>
    </row>
    <row r="373" customFormat="false" ht="15" hidden="false" customHeight="false" outlineLevel="0" collapsed="false">
      <c r="A373" s="6" t="s">
        <v>965</v>
      </c>
      <c r="B373" s="6" t="n">
        <v>6</v>
      </c>
      <c r="C373" s="6" t="n">
        <v>1</v>
      </c>
      <c r="D373" s="6" t="s">
        <v>42</v>
      </c>
      <c r="E373" s="6" t="s">
        <v>973</v>
      </c>
      <c r="F373" s="6"/>
      <c r="G373" s="6" t="s">
        <v>974</v>
      </c>
      <c r="H373" s="6" t="s">
        <v>975</v>
      </c>
      <c r="I373" s="6" t="s">
        <v>976</v>
      </c>
      <c r="J373" s="7" t="s">
        <v>977</v>
      </c>
    </row>
    <row r="374" customFormat="false" ht="15" hidden="false" customHeight="false" outlineLevel="0" collapsed="false">
      <c r="A374" s="6" t="s">
        <v>965</v>
      </c>
      <c r="B374" s="6" t="n">
        <v>7</v>
      </c>
      <c r="C374" s="6" t="n">
        <v>1</v>
      </c>
      <c r="D374" s="6" t="s">
        <v>42</v>
      </c>
      <c r="E374" s="6" t="s">
        <v>978</v>
      </c>
      <c r="F374" s="6"/>
      <c r="G374" s="6" t="s">
        <v>979</v>
      </c>
      <c r="H374" s="6" t="s">
        <v>980</v>
      </c>
      <c r="I374" s="6" t="s">
        <v>229</v>
      </c>
      <c r="J374" s="7" t="s">
        <v>981</v>
      </c>
    </row>
    <row r="375" customFormat="false" ht="15" hidden="false" customHeight="false" outlineLevel="0" collapsed="false">
      <c r="A375" s="6" t="s">
        <v>965</v>
      </c>
      <c r="B375" s="6" t="n">
        <v>8</v>
      </c>
      <c r="C375" s="6" t="n">
        <v>1</v>
      </c>
      <c r="D375" s="6" t="s">
        <v>32</v>
      </c>
      <c r="E375" s="6" t="s">
        <v>305</v>
      </c>
      <c r="F375" s="6"/>
      <c r="G375" s="6" t="s">
        <v>982</v>
      </c>
      <c r="H375" s="6" t="s">
        <v>983</v>
      </c>
      <c r="I375" s="6" t="s">
        <v>40</v>
      </c>
      <c r="J375" s="7" t="s">
        <v>984</v>
      </c>
    </row>
    <row r="376" customFormat="false" ht="15" hidden="false" customHeight="false" outlineLevel="0" collapsed="false">
      <c r="A376" s="6" t="s">
        <v>965</v>
      </c>
      <c r="B376" s="6" t="n">
        <v>9</v>
      </c>
      <c r="C376" s="6" t="n">
        <v>1</v>
      </c>
      <c r="D376" s="6" t="s">
        <v>32</v>
      </c>
      <c r="E376" s="6" t="s">
        <v>593</v>
      </c>
      <c r="F376" s="6"/>
      <c r="G376" s="6" t="s">
        <v>985</v>
      </c>
      <c r="H376" s="6" t="s">
        <v>986</v>
      </c>
      <c r="I376" s="6" t="s">
        <v>987</v>
      </c>
      <c r="J376" s="7" t="s">
        <v>988</v>
      </c>
    </row>
    <row r="377" customFormat="false" ht="15" hidden="false" customHeight="false" outlineLevel="0" collapsed="false">
      <c r="A377" s="6" t="s">
        <v>965</v>
      </c>
      <c r="B377" s="6" t="n">
        <v>13</v>
      </c>
      <c r="C377" s="6" t="n">
        <v>1</v>
      </c>
      <c r="D377" s="6" t="s">
        <v>42</v>
      </c>
      <c r="E377" s="6" t="s">
        <v>49</v>
      </c>
      <c r="F377" s="6"/>
      <c r="G377" s="6" t="s">
        <v>403</v>
      </c>
      <c r="H377" s="6" t="s">
        <v>989</v>
      </c>
      <c r="I377" s="6" t="s">
        <v>87</v>
      </c>
      <c r="J377" s="7" t="s">
        <v>990</v>
      </c>
    </row>
    <row r="378" customFormat="false" ht="15" hidden="false" customHeight="false" outlineLevel="0" collapsed="false">
      <c r="A378" s="6" t="s">
        <v>965</v>
      </c>
      <c r="B378" s="6" t="n">
        <v>14</v>
      </c>
      <c r="C378" s="6" t="n">
        <v>1</v>
      </c>
      <c r="D378" s="6" t="s">
        <v>42</v>
      </c>
      <c r="E378" s="6" t="s">
        <v>38</v>
      </c>
      <c r="F378" s="6"/>
      <c r="G378" s="6" t="s">
        <v>991</v>
      </c>
      <c r="H378" s="6" t="s">
        <v>992</v>
      </c>
      <c r="I378" s="6" t="s">
        <v>87</v>
      </c>
      <c r="J378" s="7" t="s">
        <v>993</v>
      </c>
    </row>
    <row r="379" customFormat="false" ht="15" hidden="false" customHeight="false" outlineLevel="0" collapsed="false">
      <c r="A379" s="6" t="s">
        <v>965</v>
      </c>
      <c r="B379" s="6" t="n">
        <v>15</v>
      </c>
      <c r="C379" s="6" t="n">
        <v>1</v>
      </c>
      <c r="D379" s="6" t="s">
        <v>32</v>
      </c>
      <c r="E379" s="6" t="s">
        <v>305</v>
      </c>
      <c r="F379" s="6"/>
      <c r="G379" s="6" t="s">
        <v>994</v>
      </c>
      <c r="H379" s="6" t="s">
        <v>995</v>
      </c>
      <c r="I379" s="6" t="s">
        <v>51</v>
      </c>
      <c r="J379" s="7" t="s">
        <v>996</v>
      </c>
    </row>
    <row r="380" customFormat="false" ht="15" hidden="false" customHeight="false" outlineLevel="0" collapsed="false">
      <c r="A380" s="6" t="s">
        <v>965</v>
      </c>
      <c r="B380" s="6" t="n">
        <v>16</v>
      </c>
      <c r="C380" s="6" t="n">
        <v>1</v>
      </c>
      <c r="D380" s="6" t="s">
        <v>32</v>
      </c>
      <c r="E380" s="6" t="s">
        <v>305</v>
      </c>
      <c r="F380" s="6"/>
      <c r="G380" s="6" t="s">
        <v>306</v>
      </c>
      <c r="H380" s="6" t="s">
        <v>997</v>
      </c>
      <c r="I380" s="6" t="s">
        <v>308</v>
      </c>
      <c r="J380" s="7" t="s">
        <v>998</v>
      </c>
    </row>
    <row r="381" customFormat="false" ht="15" hidden="false" customHeight="false" outlineLevel="0" collapsed="false">
      <c r="A381" s="6" t="s">
        <v>965</v>
      </c>
      <c r="B381" s="6" t="n">
        <v>17</v>
      </c>
      <c r="C381" s="6" t="n">
        <v>1</v>
      </c>
      <c r="D381" s="6" t="s">
        <v>42</v>
      </c>
      <c r="E381" s="6" t="s">
        <v>273</v>
      </c>
      <c r="F381" s="6"/>
      <c r="G381" s="6" t="s">
        <v>999</v>
      </c>
      <c r="H381" s="6" t="s">
        <v>1000</v>
      </c>
      <c r="I381" s="6" t="s">
        <v>181</v>
      </c>
      <c r="J381" s="7" t="s">
        <v>1001</v>
      </c>
    </row>
    <row r="382" customFormat="false" ht="15" hidden="false" customHeight="false" outlineLevel="0" collapsed="false">
      <c r="A382" s="6" t="s">
        <v>965</v>
      </c>
      <c r="B382" s="6" t="n">
        <v>18</v>
      </c>
      <c r="C382" s="6" t="n">
        <v>1</v>
      </c>
      <c r="D382" s="6" t="s">
        <v>42</v>
      </c>
      <c r="E382" s="6" t="s">
        <v>273</v>
      </c>
      <c r="F382" s="6"/>
      <c r="G382" s="6" t="s">
        <v>419</v>
      </c>
      <c r="H382" s="6" t="s">
        <v>420</v>
      </c>
      <c r="I382" s="6" t="s">
        <v>181</v>
      </c>
      <c r="J382" s="7" t="s">
        <v>1002</v>
      </c>
    </row>
    <row r="383" customFormat="false" ht="15" hidden="false" customHeight="false" outlineLevel="0" collapsed="false">
      <c r="A383" s="6" t="s">
        <v>965</v>
      </c>
      <c r="B383" s="6" t="n">
        <v>19</v>
      </c>
      <c r="C383" s="6" t="n">
        <v>1</v>
      </c>
      <c r="D383" s="6" t="s">
        <v>42</v>
      </c>
      <c r="E383" s="6" t="s">
        <v>49</v>
      </c>
      <c r="F383" s="6"/>
      <c r="G383" s="6" t="s">
        <v>466</v>
      </c>
      <c r="H383" s="6" t="s">
        <v>1003</v>
      </c>
      <c r="I383" s="6" t="s">
        <v>181</v>
      </c>
      <c r="J383" s="7" t="s">
        <v>1004</v>
      </c>
    </row>
    <row r="384" customFormat="false" ht="15" hidden="false" customHeight="false" outlineLevel="0" collapsed="false">
      <c r="A384" s="6" t="s">
        <v>965</v>
      </c>
      <c r="B384" s="6" t="n">
        <v>20</v>
      </c>
      <c r="C384" s="6" t="n">
        <v>1</v>
      </c>
      <c r="D384" s="6" t="s">
        <v>42</v>
      </c>
      <c r="E384" s="6" t="s">
        <v>49</v>
      </c>
      <c r="F384" s="6"/>
      <c r="G384" s="6" t="s">
        <v>1005</v>
      </c>
      <c r="H384" s="6" t="s">
        <v>1006</v>
      </c>
      <c r="I384" s="6" t="s">
        <v>637</v>
      </c>
      <c r="J384" s="7" t="s">
        <v>1007</v>
      </c>
    </row>
    <row r="385" customFormat="false" ht="15" hidden="false" customHeight="false" outlineLevel="0" collapsed="false">
      <c r="A385" s="6" t="s">
        <v>965</v>
      </c>
      <c r="B385" s="6" t="n">
        <v>21</v>
      </c>
      <c r="C385" s="6" t="n">
        <v>1</v>
      </c>
      <c r="D385" s="6" t="s">
        <v>42</v>
      </c>
      <c r="E385" s="6" t="s">
        <v>973</v>
      </c>
      <c r="F385" s="6"/>
      <c r="G385" s="6" t="s">
        <v>1008</v>
      </c>
      <c r="H385" s="6" t="s">
        <v>1009</v>
      </c>
      <c r="I385" s="6" t="s">
        <v>229</v>
      </c>
      <c r="J385" s="7" t="s">
        <v>1010</v>
      </c>
    </row>
    <row r="386" customFormat="false" ht="15" hidden="false" customHeight="false" outlineLevel="0" collapsed="false">
      <c r="A386" s="6" t="s">
        <v>965</v>
      </c>
      <c r="B386" s="6" t="n">
        <v>24</v>
      </c>
      <c r="C386" s="6" t="n">
        <v>1</v>
      </c>
      <c r="D386" s="6" t="s">
        <v>42</v>
      </c>
      <c r="E386" s="6" t="s">
        <v>1011</v>
      </c>
      <c r="F386" s="6"/>
      <c r="G386" s="6" t="s">
        <v>1012</v>
      </c>
      <c r="H386" s="6" t="s">
        <v>1013</v>
      </c>
      <c r="I386" s="6" t="s">
        <v>1014</v>
      </c>
      <c r="J386" s="7" t="s">
        <v>1015</v>
      </c>
    </row>
    <row r="387" customFormat="false" ht="15" hidden="false" customHeight="false" outlineLevel="0" collapsed="false">
      <c r="A387" s="6" t="s">
        <v>965</v>
      </c>
      <c r="B387" s="6" t="n">
        <v>26</v>
      </c>
      <c r="C387" s="6" t="n">
        <v>1</v>
      </c>
      <c r="D387" s="6" t="s">
        <v>42</v>
      </c>
      <c r="E387" s="6" t="s">
        <v>273</v>
      </c>
      <c r="F387" s="6"/>
      <c r="G387" s="6" t="s">
        <v>1016</v>
      </c>
      <c r="H387" s="6" t="s">
        <v>1017</v>
      </c>
      <c r="I387" s="6" t="s">
        <v>104</v>
      </c>
      <c r="J387" s="7" t="s">
        <v>1018</v>
      </c>
    </row>
    <row r="388" customFormat="false" ht="15" hidden="false" customHeight="false" outlineLevel="0" collapsed="false">
      <c r="A388" s="6" t="s">
        <v>965</v>
      </c>
      <c r="B388" s="6" t="n">
        <v>27</v>
      </c>
      <c r="C388" s="6" t="n">
        <v>1</v>
      </c>
      <c r="D388" s="6" t="s">
        <v>42</v>
      </c>
      <c r="E388" s="6" t="s">
        <v>1019</v>
      </c>
      <c r="F388" s="6"/>
      <c r="G388" s="6" t="s">
        <v>1020</v>
      </c>
      <c r="H388" s="6" t="s">
        <v>1021</v>
      </c>
      <c r="I388" s="6" t="s">
        <v>908</v>
      </c>
      <c r="J388" s="7" t="s">
        <v>1022</v>
      </c>
    </row>
    <row r="389" customFormat="false" ht="15" hidden="false" customHeight="false" outlineLevel="0" collapsed="false">
      <c r="A389" s="6" t="s">
        <v>965</v>
      </c>
      <c r="B389" s="6" t="n">
        <v>28</v>
      </c>
      <c r="C389" s="6" t="n">
        <v>1</v>
      </c>
      <c r="D389" s="6" t="s">
        <v>42</v>
      </c>
      <c r="E389" s="6" t="s">
        <v>273</v>
      </c>
      <c r="F389" s="6"/>
      <c r="G389" s="6" t="s">
        <v>1023</v>
      </c>
      <c r="H389" s="6" t="s">
        <v>1024</v>
      </c>
      <c r="I389" s="6" t="s">
        <v>212</v>
      </c>
      <c r="J389" s="7" t="s">
        <v>1025</v>
      </c>
    </row>
    <row r="390" customFormat="false" ht="15" hidden="false" customHeight="false" outlineLevel="0" collapsed="false">
      <c r="A390" s="6" t="s">
        <v>965</v>
      </c>
      <c r="B390" s="6" t="n">
        <v>29</v>
      </c>
      <c r="C390" s="6" t="n">
        <v>1</v>
      </c>
      <c r="D390" s="6" t="s">
        <v>42</v>
      </c>
      <c r="E390" s="6" t="s">
        <v>1026</v>
      </c>
      <c r="F390" s="6"/>
      <c r="G390" s="6" t="s">
        <v>1027</v>
      </c>
      <c r="H390" s="6" t="s">
        <v>1028</v>
      </c>
      <c r="I390" s="6" t="s">
        <v>908</v>
      </c>
      <c r="J390" s="7" t="s">
        <v>1029</v>
      </c>
    </row>
    <row r="391" customFormat="false" ht="15" hidden="false" customHeight="false" outlineLevel="0" collapsed="false">
      <c r="A391" s="6" t="s">
        <v>965</v>
      </c>
      <c r="B391" s="6" t="n">
        <v>30</v>
      </c>
      <c r="C391" s="6" t="n">
        <v>1</v>
      </c>
      <c r="D391" s="6" t="s">
        <v>42</v>
      </c>
      <c r="E391" s="6" t="s">
        <v>38</v>
      </c>
      <c r="F391" s="6"/>
      <c r="G391" s="6" t="s">
        <v>379</v>
      </c>
      <c r="H391" s="6" t="s">
        <v>1030</v>
      </c>
      <c r="I391" s="6" t="s">
        <v>51</v>
      </c>
      <c r="J391" s="7" t="s">
        <v>1031</v>
      </c>
    </row>
    <row r="392" customFormat="false" ht="15" hidden="false" customHeight="false" outlineLevel="0" collapsed="false">
      <c r="A392" s="6" t="s">
        <v>965</v>
      </c>
      <c r="B392" s="6" t="n">
        <v>4</v>
      </c>
      <c r="C392" s="6" t="n">
        <v>2</v>
      </c>
      <c r="D392" s="6" t="s">
        <v>32</v>
      </c>
      <c r="E392" s="6" t="s">
        <v>305</v>
      </c>
      <c r="F392" s="6"/>
      <c r="G392" s="6" t="s">
        <v>1032</v>
      </c>
      <c r="H392" s="6" t="s">
        <v>1033</v>
      </c>
      <c r="I392" s="6" t="s">
        <v>47</v>
      </c>
      <c r="J392" s="7" t="s">
        <v>1034</v>
      </c>
    </row>
    <row r="393" customFormat="false" ht="15" hidden="false" customHeight="false" outlineLevel="0" collapsed="false">
      <c r="A393" s="6" t="s">
        <v>965</v>
      </c>
      <c r="B393" s="6" t="n">
        <v>5</v>
      </c>
      <c r="C393" s="6" t="n">
        <v>2</v>
      </c>
      <c r="D393" s="6" t="s">
        <v>32</v>
      </c>
      <c r="E393" s="6" t="s">
        <v>593</v>
      </c>
      <c r="F393" s="6"/>
      <c r="G393" s="6" t="s">
        <v>1035</v>
      </c>
      <c r="H393" s="6" t="s">
        <v>1036</v>
      </c>
      <c r="I393" s="6" t="s">
        <v>319</v>
      </c>
      <c r="J393" s="7" t="s">
        <v>1037</v>
      </c>
    </row>
    <row r="394" customFormat="false" ht="15" hidden="false" customHeight="false" outlineLevel="0" collapsed="false">
      <c r="A394" s="6" t="s">
        <v>965</v>
      </c>
      <c r="B394" s="6" t="n">
        <v>6</v>
      </c>
      <c r="C394" s="6" t="n">
        <v>2</v>
      </c>
      <c r="D394" s="6" t="s">
        <v>42</v>
      </c>
      <c r="E394" s="6" t="s">
        <v>1038</v>
      </c>
      <c r="F394" s="6"/>
      <c r="G394" s="6" t="s">
        <v>1039</v>
      </c>
      <c r="H394" s="6" t="s">
        <v>1040</v>
      </c>
      <c r="I394" s="6" t="s">
        <v>1041</v>
      </c>
      <c r="J394" s="7" t="s">
        <v>1042</v>
      </c>
    </row>
    <row r="395" customFormat="false" ht="15" hidden="false" customHeight="false" outlineLevel="0" collapsed="false">
      <c r="A395" s="6" t="s">
        <v>965</v>
      </c>
      <c r="B395" s="6" t="n">
        <v>7</v>
      </c>
      <c r="C395" s="6" t="n">
        <v>2</v>
      </c>
      <c r="D395" s="6" t="s">
        <v>42</v>
      </c>
      <c r="E395" s="6" t="s">
        <v>273</v>
      </c>
      <c r="F395" s="6"/>
      <c r="G395" s="6" t="s">
        <v>1043</v>
      </c>
      <c r="H395" s="6" t="s">
        <v>1044</v>
      </c>
      <c r="I395" s="6" t="s">
        <v>104</v>
      </c>
      <c r="J395" s="7" t="s">
        <v>1045</v>
      </c>
    </row>
    <row r="396" customFormat="false" ht="15" hidden="false" customHeight="false" outlineLevel="0" collapsed="false">
      <c r="A396" s="6" t="s">
        <v>965</v>
      </c>
      <c r="B396" s="6" t="n">
        <v>9</v>
      </c>
      <c r="C396" s="6" t="n">
        <v>2</v>
      </c>
      <c r="D396" s="6" t="s">
        <v>32</v>
      </c>
      <c r="E396" s="6" t="s">
        <v>49</v>
      </c>
      <c r="F396" s="6"/>
      <c r="G396" s="6" t="s">
        <v>447</v>
      </c>
      <c r="H396" s="6" t="s">
        <v>1046</v>
      </c>
      <c r="I396" s="6" t="s">
        <v>44</v>
      </c>
      <c r="J396" s="7" t="s">
        <v>580</v>
      </c>
    </row>
    <row r="397" customFormat="false" ht="15" hidden="false" customHeight="false" outlineLevel="0" collapsed="false">
      <c r="A397" s="6" t="s">
        <v>965</v>
      </c>
      <c r="B397" s="6" t="n">
        <v>15</v>
      </c>
      <c r="C397" s="6" t="n">
        <v>2</v>
      </c>
      <c r="D397" s="6" t="s">
        <v>42</v>
      </c>
      <c r="E397" s="6" t="s">
        <v>273</v>
      </c>
      <c r="F397" s="6"/>
      <c r="G397" s="6" t="s">
        <v>617</v>
      </c>
      <c r="H397" s="6" t="s">
        <v>1047</v>
      </c>
      <c r="I397" s="6" t="s">
        <v>64</v>
      </c>
      <c r="J397" s="7" t="s">
        <v>1048</v>
      </c>
    </row>
    <row r="398" customFormat="false" ht="15" hidden="false" customHeight="false" outlineLevel="0" collapsed="false">
      <c r="A398" s="6" t="s">
        <v>965</v>
      </c>
      <c r="B398" s="6" t="n">
        <v>16</v>
      </c>
      <c r="C398" s="6" t="n">
        <v>2</v>
      </c>
      <c r="D398" s="6" t="s">
        <v>42</v>
      </c>
      <c r="E398" s="6" t="s">
        <v>273</v>
      </c>
      <c r="F398" s="6"/>
      <c r="G398" s="6" t="s">
        <v>1049</v>
      </c>
      <c r="H398" s="6" t="s">
        <v>1050</v>
      </c>
      <c r="I398" s="6" t="s">
        <v>44</v>
      </c>
      <c r="J398" s="7" t="s">
        <v>1051</v>
      </c>
    </row>
    <row r="399" customFormat="false" ht="15" hidden="false" customHeight="false" outlineLevel="0" collapsed="false">
      <c r="A399" s="6" t="s">
        <v>965</v>
      </c>
      <c r="B399" s="6" t="n">
        <v>17</v>
      </c>
      <c r="C399" s="6" t="n">
        <v>2</v>
      </c>
      <c r="D399" s="6" t="s">
        <v>32</v>
      </c>
      <c r="E399" s="6" t="s">
        <v>305</v>
      </c>
      <c r="F399" s="6"/>
      <c r="G399" s="6" t="s">
        <v>1052</v>
      </c>
      <c r="H399" s="6" t="s">
        <v>997</v>
      </c>
      <c r="I399" s="6" t="s">
        <v>1053</v>
      </c>
      <c r="J399" s="7" t="s">
        <v>1054</v>
      </c>
    </row>
    <row r="400" customFormat="false" ht="15" hidden="false" customHeight="false" outlineLevel="0" collapsed="false">
      <c r="A400" s="6" t="s">
        <v>965</v>
      </c>
      <c r="B400" s="6" t="n">
        <v>18</v>
      </c>
      <c r="C400" s="6" t="n">
        <v>2</v>
      </c>
      <c r="D400" s="6" t="s">
        <v>32</v>
      </c>
      <c r="E400" s="6" t="s">
        <v>305</v>
      </c>
      <c r="F400" s="6"/>
      <c r="G400" s="6" t="s">
        <v>1055</v>
      </c>
      <c r="H400" s="6" t="s">
        <v>1056</v>
      </c>
      <c r="I400" s="6" t="s">
        <v>1057</v>
      </c>
      <c r="J400" s="7" t="s">
        <v>1058</v>
      </c>
    </row>
    <row r="401" customFormat="false" ht="15" hidden="false" customHeight="false" outlineLevel="0" collapsed="false">
      <c r="A401" s="6" t="s">
        <v>965</v>
      </c>
      <c r="B401" s="6" t="n">
        <v>19</v>
      </c>
      <c r="C401" s="6" t="n">
        <v>2</v>
      </c>
      <c r="D401" s="6" t="s">
        <v>42</v>
      </c>
      <c r="E401" s="6" t="s">
        <v>312</v>
      </c>
      <c r="F401" s="6"/>
      <c r="G401" s="6" t="s">
        <v>1059</v>
      </c>
      <c r="H401" s="6" t="s">
        <v>1060</v>
      </c>
      <c r="I401" s="6" t="s">
        <v>47</v>
      </c>
      <c r="J401" s="7" t="s">
        <v>1061</v>
      </c>
    </row>
    <row r="402" customFormat="false" ht="15" hidden="false" customHeight="false" outlineLevel="0" collapsed="false">
      <c r="A402" s="6" t="s">
        <v>965</v>
      </c>
      <c r="B402" s="6" t="n">
        <v>20</v>
      </c>
      <c r="C402" s="6" t="n">
        <v>2</v>
      </c>
      <c r="D402" s="6" t="s">
        <v>42</v>
      </c>
      <c r="E402" s="6" t="s">
        <v>273</v>
      </c>
      <c r="F402" s="6"/>
      <c r="G402" s="6" t="s">
        <v>1062</v>
      </c>
      <c r="H402" s="6" t="s">
        <v>1063</v>
      </c>
      <c r="I402" s="6" t="s">
        <v>212</v>
      </c>
      <c r="J402" s="7" t="s">
        <v>1064</v>
      </c>
    </row>
    <row r="403" customFormat="false" ht="15" hidden="false" customHeight="false" outlineLevel="0" collapsed="false">
      <c r="A403" s="6" t="s">
        <v>965</v>
      </c>
      <c r="B403" s="6" t="n">
        <v>21</v>
      </c>
      <c r="C403" s="6" t="n">
        <v>2</v>
      </c>
      <c r="D403" s="6" t="s">
        <v>32</v>
      </c>
      <c r="E403" s="6" t="s">
        <v>305</v>
      </c>
      <c r="F403" s="6"/>
      <c r="G403" s="6" t="s">
        <v>1065</v>
      </c>
      <c r="H403" s="6" t="s">
        <v>1066</v>
      </c>
      <c r="I403" s="6" t="s">
        <v>289</v>
      </c>
      <c r="J403" s="7" t="s">
        <v>1067</v>
      </c>
    </row>
    <row r="404" customFormat="false" ht="15" hidden="false" customHeight="false" outlineLevel="0" collapsed="false">
      <c r="A404" s="6" t="s">
        <v>965</v>
      </c>
      <c r="B404" s="6" t="n">
        <v>22</v>
      </c>
      <c r="C404" s="6" t="n">
        <v>2</v>
      </c>
      <c r="D404" s="6" t="s">
        <v>32</v>
      </c>
      <c r="E404" s="6" t="s">
        <v>49</v>
      </c>
      <c r="F404" s="6"/>
      <c r="G404" s="6" t="s">
        <v>571</v>
      </c>
      <c r="H404" s="6" t="s">
        <v>1068</v>
      </c>
      <c r="I404" s="6" t="s">
        <v>297</v>
      </c>
      <c r="J404" s="7" t="s">
        <v>572</v>
      </c>
    </row>
    <row r="405" customFormat="false" ht="15" hidden="false" customHeight="false" outlineLevel="0" collapsed="false">
      <c r="A405" s="6" t="s">
        <v>965</v>
      </c>
      <c r="B405" s="6" t="n">
        <v>23</v>
      </c>
      <c r="C405" s="6" t="n">
        <v>2</v>
      </c>
      <c r="D405" s="6" t="s">
        <v>42</v>
      </c>
      <c r="E405" s="6" t="s">
        <v>305</v>
      </c>
      <c r="F405" s="6"/>
      <c r="G405" s="6" t="s">
        <v>1069</v>
      </c>
      <c r="H405" s="6" t="s">
        <v>1070</v>
      </c>
      <c r="I405" s="6" t="s">
        <v>82</v>
      </c>
      <c r="J405" s="7" t="s">
        <v>1071</v>
      </c>
    </row>
    <row r="406" customFormat="false" ht="15" hidden="false" customHeight="false" outlineLevel="0" collapsed="false">
      <c r="A406" s="6" t="s">
        <v>965</v>
      </c>
      <c r="B406" s="6" t="n">
        <v>24</v>
      </c>
      <c r="C406" s="6" t="n">
        <v>2</v>
      </c>
      <c r="D406" s="6" t="s">
        <v>42</v>
      </c>
      <c r="E406" s="6" t="s">
        <v>273</v>
      </c>
      <c r="F406" s="6"/>
      <c r="G406" s="6" t="s">
        <v>390</v>
      </c>
      <c r="H406" s="6" t="s">
        <v>1072</v>
      </c>
      <c r="I406" s="6" t="s">
        <v>212</v>
      </c>
      <c r="J406" s="7" t="s">
        <v>1073</v>
      </c>
    </row>
    <row r="407" customFormat="false" ht="15" hidden="false" customHeight="false" outlineLevel="0" collapsed="false">
      <c r="A407" s="6" t="s">
        <v>965</v>
      </c>
      <c r="B407" s="6" t="n">
        <v>25</v>
      </c>
      <c r="C407" s="6" t="n">
        <v>2</v>
      </c>
      <c r="D407" s="6" t="s">
        <v>42</v>
      </c>
      <c r="E407" s="6" t="s">
        <v>273</v>
      </c>
      <c r="F407" s="6"/>
      <c r="G407" s="6" t="s">
        <v>1074</v>
      </c>
      <c r="H407" s="6" t="s">
        <v>1075</v>
      </c>
      <c r="I407" s="6" t="s">
        <v>128</v>
      </c>
      <c r="J407" s="7" t="s">
        <v>1076</v>
      </c>
    </row>
    <row r="408" customFormat="false" ht="15" hidden="false" customHeight="false" outlineLevel="0" collapsed="false">
      <c r="A408" s="6" t="s">
        <v>965</v>
      </c>
      <c r="B408" s="6" t="n">
        <v>26</v>
      </c>
      <c r="C408" s="6" t="n">
        <v>2</v>
      </c>
      <c r="D408" s="6" t="s">
        <v>42</v>
      </c>
      <c r="E408" s="6" t="s">
        <v>273</v>
      </c>
      <c r="F408" s="6"/>
      <c r="G408" s="6" t="s">
        <v>1077</v>
      </c>
      <c r="H408" s="6" t="s">
        <v>1078</v>
      </c>
      <c r="I408" s="6" t="s">
        <v>61</v>
      </c>
      <c r="J408" s="7" t="s">
        <v>1079</v>
      </c>
    </row>
    <row r="409" customFormat="false" ht="15" hidden="false" customHeight="false" outlineLevel="0" collapsed="false">
      <c r="A409" s="6" t="s">
        <v>965</v>
      </c>
      <c r="B409" s="6" t="n">
        <v>27</v>
      </c>
      <c r="C409" s="6" t="n">
        <v>2</v>
      </c>
      <c r="D409" s="6" t="s">
        <v>42</v>
      </c>
      <c r="E409" s="6" t="s">
        <v>305</v>
      </c>
      <c r="F409" s="6"/>
      <c r="G409" s="6" t="s">
        <v>1080</v>
      </c>
      <c r="H409" s="6" t="s">
        <v>1081</v>
      </c>
      <c r="I409" s="6" t="s">
        <v>51</v>
      </c>
      <c r="J409" s="7" t="s">
        <v>1082</v>
      </c>
    </row>
    <row r="410" customFormat="false" ht="15" hidden="false" customHeight="false" outlineLevel="0" collapsed="false">
      <c r="A410" s="6" t="s">
        <v>965</v>
      </c>
      <c r="B410" s="6" t="n">
        <v>28</v>
      </c>
      <c r="C410" s="6" t="n">
        <v>2</v>
      </c>
      <c r="D410" s="6" t="s">
        <v>42</v>
      </c>
      <c r="E410" s="6" t="s">
        <v>273</v>
      </c>
      <c r="F410" s="6"/>
      <c r="G410" s="6" t="s">
        <v>417</v>
      </c>
      <c r="H410" s="6" t="s">
        <v>1083</v>
      </c>
      <c r="I410" s="6" t="s">
        <v>181</v>
      </c>
      <c r="J410" s="7" t="s">
        <v>1084</v>
      </c>
    </row>
    <row r="411" customFormat="false" ht="15" hidden="false" customHeight="false" outlineLevel="0" collapsed="false">
      <c r="A411" s="6" t="s">
        <v>965</v>
      </c>
      <c r="B411" s="6" t="n">
        <v>29</v>
      </c>
      <c r="C411" s="6" t="n">
        <v>2</v>
      </c>
      <c r="D411" s="6" t="s">
        <v>42</v>
      </c>
      <c r="E411" s="6" t="s">
        <v>973</v>
      </c>
      <c r="F411" s="6"/>
      <c r="G411" s="6" t="s">
        <v>1085</v>
      </c>
      <c r="H411" s="6" t="s">
        <v>1086</v>
      </c>
      <c r="I411" s="6" t="s">
        <v>229</v>
      </c>
      <c r="J411" s="7" t="s">
        <v>1087</v>
      </c>
    </row>
    <row r="412" customFormat="false" ht="15" hidden="false" customHeight="false" outlineLevel="0" collapsed="false">
      <c r="A412" s="6" t="s">
        <v>965</v>
      </c>
      <c r="B412" s="6" t="n">
        <v>30</v>
      </c>
      <c r="C412" s="6" t="n">
        <v>2</v>
      </c>
      <c r="D412" s="6" t="s">
        <v>42</v>
      </c>
      <c r="E412" s="6" t="s">
        <v>38</v>
      </c>
      <c r="F412" s="6"/>
      <c r="G412" s="6" t="s">
        <v>1088</v>
      </c>
      <c r="H412" s="6" t="s">
        <v>1089</v>
      </c>
      <c r="I412" s="6" t="s">
        <v>51</v>
      </c>
      <c r="J412" s="7" t="s">
        <v>1090</v>
      </c>
    </row>
    <row r="413" customFormat="false" ht="15" hidden="false" customHeight="false" outlineLevel="0" collapsed="false">
      <c r="A413" s="6" t="s">
        <v>965</v>
      </c>
      <c r="B413" s="6" t="n">
        <v>31</v>
      </c>
      <c r="C413" s="6" t="n">
        <v>2</v>
      </c>
      <c r="D413" s="6" t="s">
        <v>42</v>
      </c>
      <c r="E413" s="6" t="s">
        <v>273</v>
      </c>
      <c r="F413" s="6"/>
      <c r="G413" s="6" t="s">
        <v>1091</v>
      </c>
      <c r="H413" s="6" t="s">
        <v>1092</v>
      </c>
      <c r="I413" s="6" t="s">
        <v>212</v>
      </c>
      <c r="J413" s="7" t="s">
        <v>1093</v>
      </c>
    </row>
    <row r="414" customFormat="false" ht="15" hidden="false" customHeight="false" outlineLevel="0" collapsed="false">
      <c r="A414" s="6" t="s">
        <v>965</v>
      </c>
      <c r="B414" s="6" t="n">
        <v>32</v>
      </c>
      <c r="C414" s="6" t="n">
        <v>2</v>
      </c>
      <c r="D414" s="6" t="s">
        <v>42</v>
      </c>
      <c r="E414" s="6" t="s">
        <v>49</v>
      </c>
      <c r="F414" s="6"/>
      <c r="G414" s="6" t="s">
        <v>457</v>
      </c>
      <c r="H414" s="6" t="s">
        <v>1094</v>
      </c>
      <c r="I414" s="6" t="s">
        <v>51</v>
      </c>
      <c r="J414" s="7" t="s">
        <v>1095</v>
      </c>
    </row>
    <row r="415" customFormat="false" ht="15" hidden="false" customHeight="false" outlineLevel="0" collapsed="false">
      <c r="A415" s="6" t="s">
        <v>1096</v>
      </c>
      <c r="B415" s="6" t="n">
        <v>4</v>
      </c>
      <c r="C415" s="6" t="n">
        <v>1</v>
      </c>
      <c r="D415" s="6" t="s">
        <v>32</v>
      </c>
      <c r="E415" s="6" t="s">
        <v>273</v>
      </c>
      <c r="F415" s="6"/>
      <c r="G415" s="6" t="s">
        <v>1097</v>
      </c>
      <c r="H415" s="6" t="s">
        <v>1098</v>
      </c>
      <c r="I415" s="6" t="s">
        <v>128</v>
      </c>
      <c r="J415" s="7" t="s">
        <v>1099</v>
      </c>
    </row>
    <row r="416" customFormat="false" ht="15" hidden="false" customHeight="false" outlineLevel="0" collapsed="false">
      <c r="A416" s="6" t="s">
        <v>1096</v>
      </c>
      <c r="B416" s="6" t="n">
        <v>5</v>
      </c>
      <c r="C416" s="6" t="n">
        <v>1</v>
      </c>
      <c r="D416" s="6" t="s">
        <v>32</v>
      </c>
      <c r="E416" s="6" t="s">
        <v>273</v>
      </c>
      <c r="F416" s="6"/>
      <c r="G416" s="6" t="s">
        <v>1100</v>
      </c>
      <c r="H416" s="6" t="s">
        <v>1101</v>
      </c>
      <c r="I416" s="6" t="s">
        <v>407</v>
      </c>
      <c r="J416" s="7" t="s">
        <v>1102</v>
      </c>
    </row>
    <row r="417" customFormat="false" ht="15" hidden="false" customHeight="false" outlineLevel="0" collapsed="false">
      <c r="A417" s="6" t="s">
        <v>1096</v>
      </c>
      <c r="B417" s="6" t="n">
        <v>6</v>
      </c>
      <c r="C417" s="6" t="n">
        <v>1</v>
      </c>
      <c r="D417" s="6" t="s">
        <v>42</v>
      </c>
      <c r="E417" s="6" t="s">
        <v>49</v>
      </c>
      <c r="F417" s="6"/>
      <c r="G417" s="6" t="s">
        <v>1103</v>
      </c>
      <c r="H417" s="6" t="s">
        <v>1104</v>
      </c>
      <c r="I417" s="6" t="s">
        <v>64</v>
      </c>
      <c r="J417" s="7" t="s">
        <v>1105</v>
      </c>
    </row>
    <row r="418" customFormat="false" ht="15" hidden="false" customHeight="false" outlineLevel="0" collapsed="false">
      <c r="A418" s="6" t="s">
        <v>1096</v>
      </c>
      <c r="B418" s="6" t="n">
        <v>7</v>
      </c>
      <c r="C418" s="6" t="n">
        <v>1</v>
      </c>
      <c r="D418" s="6" t="s">
        <v>42</v>
      </c>
      <c r="E418" s="6" t="s">
        <v>273</v>
      </c>
      <c r="F418" s="6"/>
      <c r="G418" s="6" t="s">
        <v>392</v>
      </c>
      <c r="H418" s="6" t="s">
        <v>1106</v>
      </c>
      <c r="I418" s="6" t="s">
        <v>181</v>
      </c>
      <c r="J418" s="7" t="s">
        <v>1107</v>
      </c>
    </row>
    <row r="419" customFormat="false" ht="15" hidden="false" customHeight="false" outlineLevel="0" collapsed="false">
      <c r="A419" s="6" t="s">
        <v>1096</v>
      </c>
      <c r="B419" s="6" t="n">
        <v>8</v>
      </c>
      <c r="C419" s="6" t="n">
        <v>1</v>
      </c>
      <c r="D419" s="6" t="s">
        <v>32</v>
      </c>
      <c r="E419" s="6" t="s">
        <v>305</v>
      </c>
      <c r="F419" s="6"/>
      <c r="G419" s="6" t="s">
        <v>982</v>
      </c>
      <c r="H419" s="6" t="s">
        <v>983</v>
      </c>
      <c r="I419" s="6" t="s">
        <v>40</v>
      </c>
      <c r="J419" s="7" t="s">
        <v>984</v>
      </c>
    </row>
    <row r="420" customFormat="false" ht="15" hidden="false" customHeight="false" outlineLevel="0" collapsed="false">
      <c r="A420" s="6" t="s">
        <v>1096</v>
      </c>
      <c r="B420" s="6" t="n">
        <v>9</v>
      </c>
      <c r="C420" s="6" t="n">
        <v>1</v>
      </c>
      <c r="D420" s="6" t="s">
        <v>32</v>
      </c>
      <c r="E420" s="6" t="s">
        <v>305</v>
      </c>
      <c r="F420" s="6"/>
      <c r="G420" s="6" t="s">
        <v>581</v>
      </c>
      <c r="H420" s="6" t="s">
        <v>1108</v>
      </c>
      <c r="I420" s="6" t="s">
        <v>395</v>
      </c>
      <c r="J420" s="7" t="s">
        <v>1109</v>
      </c>
    </row>
    <row r="421" customFormat="false" ht="15" hidden="false" customHeight="false" outlineLevel="0" collapsed="false">
      <c r="A421" s="6" t="s">
        <v>1096</v>
      </c>
      <c r="B421" s="6" t="n">
        <v>13</v>
      </c>
      <c r="C421" s="6" t="n">
        <v>1</v>
      </c>
      <c r="D421" s="6" t="s">
        <v>42</v>
      </c>
      <c r="E421" s="6" t="s">
        <v>49</v>
      </c>
      <c r="F421" s="6"/>
      <c r="G421" s="6" t="s">
        <v>514</v>
      </c>
      <c r="H421" s="6" t="s">
        <v>1110</v>
      </c>
      <c r="I421" s="6" t="s">
        <v>87</v>
      </c>
      <c r="J421" s="7" t="s">
        <v>1111</v>
      </c>
    </row>
    <row r="422" customFormat="false" ht="15" hidden="false" customHeight="false" outlineLevel="0" collapsed="false">
      <c r="A422" s="6" t="s">
        <v>1096</v>
      </c>
      <c r="B422" s="6" t="n">
        <v>14</v>
      </c>
      <c r="C422" s="6" t="n">
        <v>1</v>
      </c>
      <c r="D422" s="6" t="s">
        <v>42</v>
      </c>
      <c r="E422" s="6" t="s">
        <v>305</v>
      </c>
      <c r="F422" s="6"/>
      <c r="G422" s="6" t="s">
        <v>1112</v>
      </c>
      <c r="H422" s="6" t="s">
        <v>1113</v>
      </c>
      <c r="I422" s="6" t="s">
        <v>388</v>
      </c>
      <c r="J422" s="7" t="s">
        <v>1114</v>
      </c>
    </row>
    <row r="423" customFormat="false" ht="15" hidden="false" customHeight="false" outlineLevel="0" collapsed="false">
      <c r="A423" s="6" t="s">
        <v>1096</v>
      </c>
      <c r="B423" s="6" t="n">
        <v>15</v>
      </c>
      <c r="C423" s="6" t="n">
        <v>1</v>
      </c>
      <c r="D423" s="6" t="s">
        <v>32</v>
      </c>
      <c r="E423" s="6" t="s">
        <v>273</v>
      </c>
      <c r="F423" s="6"/>
      <c r="G423" s="6" t="s">
        <v>419</v>
      </c>
      <c r="H423" s="6" t="s">
        <v>420</v>
      </c>
      <c r="I423" s="6" t="s">
        <v>181</v>
      </c>
      <c r="J423" s="7" t="s">
        <v>421</v>
      </c>
    </row>
    <row r="424" customFormat="false" ht="15" hidden="false" customHeight="false" outlineLevel="0" collapsed="false">
      <c r="A424" s="6" t="s">
        <v>1096</v>
      </c>
      <c r="B424" s="6" t="n">
        <v>16</v>
      </c>
      <c r="C424" s="6" t="n">
        <v>1</v>
      </c>
      <c r="D424" s="6" t="s">
        <v>32</v>
      </c>
      <c r="E424" s="6" t="s">
        <v>49</v>
      </c>
      <c r="F424" s="6"/>
      <c r="G424" s="6" t="s">
        <v>447</v>
      </c>
      <c r="H424" s="6" t="s">
        <v>1046</v>
      </c>
      <c r="I424" s="6" t="s">
        <v>44</v>
      </c>
      <c r="J424" s="7" t="s">
        <v>580</v>
      </c>
    </row>
    <row r="425" customFormat="false" ht="15" hidden="false" customHeight="false" outlineLevel="0" collapsed="false">
      <c r="A425" s="6" t="s">
        <v>1096</v>
      </c>
      <c r="B425" s="6" t="n">
        <v>17</v>
      </c>
      <c r="C425" s="6" t="n">
        <v>1</v>
      </c>
      <c r="D425" s="6" t="s">
        <v>42</v>
      </c>
      <c r="E425" s="6" t="s">
        <v>305</v>
      </c>
      <c r="F425" s="6"/>
      <c r="G425" s="6" t="s">
        <v>1115</v>
      </c>
      <c r="H425" s="6" t="s">
        <v>1116</v>
      </c>
      <c r="I425" s="6" t="s">
        <v>64</v>
      </c>
      <c r="J425" s="7" t="s">
        <v>1117</v>
      </c>
    </row>
    <row r="426" customFormat="false" ht="15" hidden="false" customHeight="false" outlineLevel="0" collapsed="false">
      <c r="A426" s="6" t="s">
        <v>1096</v>
      </c>
      <c r="B426" s="6" t="n">
        <v>18</v>
      </c>
      <c r="C426" s="6" t="n">
        <v>1</v>
      </c>
      <c r="D426" s="6" t="s">
        <v>42</v>
      </c>
      <c r="E426" s="6" t="s">
        <v>273</v>
      </c>
      <c r="F426" s="6"/>
      <c r="G426" s="6" t="s">
        <v>1077</v>
      </c>
      <c r="H426" s="6" t="s">
        <v>1078</v>
      </c>
      <c r="I426" s="6" t="s">
        <v>61</v>
      </c>
      <c r="J426" s="7" t="s">
        <v>1118</v>
      </c>
    </row>
    <row r="427" customFormat="false" ht="15" hidden="false" customHeight="false" outlineLevel="0" collapsed="false">
      <c r="A427" s="6" t="s">
        <v>1096</v>
      </c>
      <c r="B427" s="6" t="n">
        <v>19</v>
      </c>
      <c r="C427" s="6" t="n">
        <v>1</v>
      </c>
      <c r="D427" s="6" t="s">
        <v>42</v>
      </c>
      <c r="E427" s="6" t="s">
        <v>273</v>
      </c>
      <c r="F427" s="6"/>
      <c r="G427" s="6" t="s">
        <v>1119</v>
      </c>
      <c r="H427" s="6" t="s">
        <v>1120</v>
      </c>
      <c r="I427" s="6" t="s">
        <v>128</v>
      </c>
      <c r="J427" s="7" t="s">
        <v>1121</v>
      </c>
    </row>
    <row r="428" customFormat="false" ht="15" hidden="false" customHeight="false" outlineLevel="0" collapsed="false">
      <c r="A428" s="6" t="s">
        <v>1096</v>
      </c>
      <c r="B428" s="6" t="n">
        <v>20</v>
      </c>
      <c r="C428" s="6" t="n">
        <v>1</v>
      </c>
      <c r="D428" s="6" t="s">
        <v>42</v>
      </c>
      <c r="E428" s="6" t="s">
        <v>38</v>
      </c>
      <c r="F428" s="6"/>
      <c r="G428" s="6" t="s">
        <v>379</v>
      </c>
      <c r="H428" s="6" t="s">
        <v>1030</v>
      </c>
      <c r="I428" s="6" t="s">
        <v>51</v>
      </c>
      <c r="J428" s="7" t="s">
        <v>1122</v>
      </c>
    </row>
    <row r="429" customFormat="false" ht="15" hidden="false" customHeight="false" outlineLevel="0" collapsed="false">
      <c r="A429" s="6" t="s">
        <v>1096</v>
      </c>
      <c r="B429" s="6" t="n">
        <v>21</v>
      </c>
      <c r="C429" s="6" t="n">
        <v>1</v>
      </c>
      <c r="D429" s="6" t="s">
        <v>42</v>
      </c>
      <c r="E429" s="6" t="s">
        <v>38</v>
      </c>
      <c r="F429" s="6"/>
      <c r="G429" s="6" t="s">
        <v>1123</v>
      </c>
      <c r="H429" s="6" t="s">
        <v>1124</v>
      </c>
      <c r="I429" s="6" t="s">
        <v>64</v>
      </c>
      <c r="J429" s="7" t="s">
        <v>1125</v>
      </c>
    </row>
    <row r="430" customFormat="false" ht="15" hidden="false" customHeight="false" outlineLevel="0" collapsed="false">
      <c r="A430" s="6" t="s">
        <v>1096</v>
      </c>
      <c r="B430" s="6" t="n">
        <v>24</v>
      </c>
      <c r="C430" s="6" t="n">
        <v>1</v>
      </c>
      <c r="D430" s="6" t="s">
        <v>42</v>
      </c>
      <c r="E430" s="6" t="s">
        <v>38</v>
      </c>
      <c r="F430" s="6"/>
      <c r="G430" s="6" t="s">
        <v>991</v>
      </c>
      <c r="H430" s="6" t="s">
        <v>992</v>
      </c>
      <c r="I430" s="6" t="s">
        <v>87</v>
      </c>
      <c r="J430" s="7" t="s">
        <v>1126</v>
      </c>
    </row>
    <row r="431" customFormat="false" ht="15" hidden="false" customHeight="false" outlineLevel="0" collapsed="false">
      <c r="A431" s="6" t="s">
        <v>1096</v>
      </c>
      <c r="B431" s="6" t="n">
        <v>25</v>
      </c>
      <c r="C431" s="6" t="n">
        <v>1</v>
      </c>
      <c r="D431" s="6" t="s">
        <v>42</v>
      </c>
      <c r="E431" s="6" t="s">
        <v>273</v>
      </c>
      <c r="F431" s="6"/>
      <c r="G431" s="6" t="s">
        <v>1016</v>
      </c>
      <c r="H431" s="6" t="s">
        <v>1017</v>
      </c>
      <c r="I431" s="6" t="s">
        <v>104</v>
      </c>
      <c r="J431" s="7" t="s">
        <v>1127</v>
      </c>
    </row>
    <row r="432" customFormat="false" ht="15" hidden="false" customHeight="false" outlineLevel="0" collapsed="false">
      <c r="A432" s="6" t="s">
        <v>1096</v>
      </c>
      <c r="B432" s="6" t="n">
        <v>26</v>
      </c>
      <c r="C432" s="6" t="n">
        <v>1</v>
      </c>
      <c r="D432" s="6" t="s">
        <v>42</v>
      </c>
      <c r="E432" s="6" t="s">
        <v>38</v>
      </c>
      <c r="F432" s="6"/>
      <c r="G432" s="6" t="s">
        <v>376</v>
      </c>
      <c r="H432" s="6" t="s">
        <v>1128</v>
      </c>
      <c r="I432" s="6" t="s">
        <v>64</v>
      </c>
      <c r="J432" s="7" t="s">
        <v>1129</v>
      </c>
    </row>
    <row r="433" customFormat="false" ht="15" hidden="false" customHeight="false" outlineLevel="0" collapsed="false">
      <c r="A433" s="6" t="s">
        <v>1096</v>
      </c>
      <c r="B433" s="6" t="n">
        <v>27</v>
      </c>
      <c r="C433" s="6" t="n">
        <v>1</v>
      </c>
      <c r="D433" s="6" t="s">
        <v>42</v>
      </c>
      <c r="E433" s="6" t="s">
        <v>273</v>
      </c>
      <c r="F433" s="6"/>
      <c r="G433" s="6" t="s">
        <v>1130</v>
      </c>
      <c r="H433" s="6" t="s">
        <v>1131</v>
      </c>
      <c r="I433" s="6" t="s">
        <v>64</v>
      </c>
      <c r="J433" s="7" t="s">
        <v>1132</v>
      </c>
    </row>
    <row r="434" customFormat="false" ht="15" hidden="false" customHeight="false" outlineLevel="0" collapsed="false">
      <c r="A434" s="6" t="s">
        <v>1096</v>
      </c>
      <c r="B434" s="6" t="n">
        <v>28</v>
      </c>
      <c r="C434" s="6" t="n">
        <v>1</v>
      </c>
      <c r="D434" s="6" t="s">
        <v>42</v>
      </c>
      <c r="E434" s="6" t="s">
        <v>49</v>
      </c>
      <c r="F434" s="6"/>
      <c r="G434" s="6" t="s">
        <v>457</v>
      </c>
      <c r="H434" s="6" t="s">
        <v>1094</v>
      </c>
      <c r="I434" s="6" t="s">
        <v>51</v>
      </c>
      <c r="J434" s="7" t="s">
        <v>1133</v>
      </c>
    </row>
    <row r="435" customFormat="false" ht="15" hidden="false" customHeight="false" outlineLevel="0" collapsed="false">
      <c r="A435" s="6" t="s">
        <v>1096</v>
      </c>
      <c r="B435" s="6" t="n">
        <v>29</v>
      </c>
      <c r="C435" s="6" t="n">
        <v>1</v>
      </c>
      <c r="D435" s="6" t="s">
        <v>42</v>
      </c>
      <c r="E435" s="6" t="s">
        <v>66</v>
      </c>
      <c r="F435" s="6"/>
      <c r="G435" s="6" t="s">
        <v>1134</v>
      </c>
      <c r="H435" s="6" t="s">
        <v>1135</v>
      </c>
      <c r="I435" s="6" t="s">
        <v>388</v>
      </c>
      <c r="J435" s="7" t="s">
        <v>1136</v>
      </c>
    </row>
    <row r="436" customFormat="false" ht="15" hidden="false" customHeight="false" outlineLevel="0" collapsed="false">
      <c r="A436" s="6" t="s">
        <v>1096</v>
      </c>
      <c r="B436" s="6" t="n">
        <v>30</v>
      </c>
      <c r="C436" s="6" t="n">
        <v>1</v>
      </c>
      <c r="D436" s="6" t="s">
        <v>42</v>
      </c>
      <c r="E436" s="6" t="s">
        <v>305</v>
      </c>
      <c r="F436" s="6"/>
      <c r="G436" s="6" t="s">
        <v>1137</v>
      </c>
      <c r="H436" s="6" t="s">
        <v>1138</v>
      </c>
      <c r="I436" s="6" t="s">
        <v>1057</v>
      </c>
      <c r="J436" s="7" t="s">
        <v>1139</v>
      </c>
    </row>
    <row r="437" customFormat="false" ht="15" hidden="false" customHeight="false" outlineLevel="0" collapsed="false">
      <c r="A437" s="6" t="s">
        <v>1096</v>
      </c>
      <c r="B437" s="6" t="n">
        <v>4</v>
      </c>
      <c r="C437" s="6" t="n">
        <v>2</v>
      </c>
      <c r="D437" s="6" t="s">
        <v>32</v>
      </c>
      <c r="E437" s="6" t="s">
        <v>273</v>
      </c>
      <c r="F437" s="6"/>
      <c r="G437" s="6" t="s">
        <v>274</v>
      </c>
      <c r="H437" s="6" t="s">
        <v>1140</v>
      </c>
      <c r="I437" s="6" t="s">
        <v>40</v>
      </c>
      <c r="J437" s="7" t="s">
        <v>276</v>
      </c>
    </row>
    <row r="438" customFormat="false" ht="15" hidden="false" customHeight="false" outlineLevel="0" collapsed="false">
      <c r="A438" s="6" t="s">
        <v>1096</v>
      </c>
      <c r="B438" s="6" t="n">
        <v>7</v>
      </c>
      <c r="C438" s="6" t="n">
        <v>2</v>
      </c>
      <c r="D438" s="6" t="s">
        <v>42</v>
      </c>
      <c r="E438" s="6" t="s">
        <v>273</v>
      </c>
      <c r="F438" s="6"/>
      <c r="G438" s="6" t="s">
        <v>1141</v>
      </c>
      <c r="H438" s="6" t="s">
        <v>1142</v>
      </c>
      <c r="I438" s="6" t="s">
        <v>388</v>
      </c>
      <c r="J438" s="7" t="s">
        <v>1143</v>
      </c>
    </row>
    <row r="439" customFormat="false" ht="15" hidden="false" customHeight="false" outlineLevel="0" collapsed="false">
      <c r="A439" s="6" t="s">
        <v>1096</v>
      </c>
      <c r="B439" s="6" t="n">
        <v>9</v>
      </c>
      <c r="C439" s="6" t="n">
        <v>2</v>
      </c>
      <c r="D439" s="6" t="s">
        <v>32</v>
      </c>
      <c r="E439" s="6" t="s">
        <v>273</v>
      </c>
      <c r="F439" s="6"/>
      <c r="G439" s="6" t="s">
        <v>617</v>
      </c>
      <c r="H439" s="6" t="s">
        <v>1047</v>
      </c>
      <c r="I439" s="6" t="s">
        <v>64</v>
      </c>
      <c r="J439" s="7" t="s">
        <v>618</v>
      </c>
    </row>
    <row r="440" customFormat="false" ht="15" hidden="false" customHeight="false" outlineLevel="0" collapsed="false">
      <c r="A440" s="6" t="s">
        <v>1096</v>
      </c>
      <c r="B440" s="6" t="n">
        <v>15</v>
      </c>
      <c r="C440" s="6" t="n">
        <v>2</v>
      </c>
      <c r="D440" s="6" t="s">
        <v>42</v>
      </c>
      <c r="E440" s="6" t="s">
        <v>273</v>
      </c>
      <c r="F440" s="6"/>
      <c r="G440" s="6" t="s">
        <v>1144</v>
      </c>
      <c r="H440" s="6" t="s">
        <v>1145</v>
      </c>
      <c r="I440" s="6" t="s">
        <v>104</v>
      </c>
      <c r="J440" s="7" t="s">
        <v>1146</v>
      </c>
    </row>
    <row r="441" customFormat="false" ht="15" hidden="false" customHeight="false" outlineLevel="0" collapsed="false">
      <c r="A441" s="6" t="s">
        <v>1096</v>
      </c>
      <c r="B441" s="6" t="n">
        <v>16</v>
      </c>
      <c r="C441" s="6" t="n">
        <v>2</v>
      </c>
      <c r="D441" s="6" t="s">
        <v>42</v>
      </c>
      <c r="E441" s="6" t="s">
        <v>305</v>
      </c>
      <c r="F441" s="6"/>
      <c r="G441" s="6" t="s">
        <v>1147</v>
      </c>
      <c r="H441" s="6" t="s">
        <v>1148</v>
      </c>
      <c r="I441" s="6" t="s">
        <v>51</v>
      </c>
      <c r="J441" s="7" t="s">
        <v>1149</v>
      </c>
    </row>
    <row r="442" customFormat="false" ht="15" hidden="false" customHeight="false" outlineLevel="0" collapsed="false">
      <c r="A442" s="6" t="s">
        <v>1096</v>
      </c>
      <c r="B442" s="6" t="n">
        <v>18</v>
      </c>
      <c r="C442" s="6" t="n">
        <v>2</v>
      </c>
      <c r="D442" s="6" t="s">
        <v>32</v>
      </c>
      <c r="E442" s="6" t="s">
        <v>49</v>
      </c>
      <c r="F442" s="6"/>
      <c r="G442" s="6" t="s">
        <v>323</v>
      </c>
      <c r="H442" s="6" t="s">
        <v>324</v>
      </c>
      <c r="I442" s="6" t="s">
        <v>82</v>
      </c>
      <c r="J442" s="7" t="s">
        <v>325</v>
      </c>
    </row>
    <row r="443" customFormat="false" ht="15" hidden="false" customHeight="false" outlineLevel="0" collapsed="false">
      <c r="A443" s="6" t="s">
        <v>1096</v>
      </c>
      <c r="B443" s="6" t="n">
        <v>19</v>
      </c>
      <c r="C443" s="6" t="n">
        <v>2</v>
      </c>
      <c r="D443" s="6" t="s">
        <v>42</v>
      </c>
      <c r="E443" s="6" t="s">
        <v>305</v>
      </c>
      <c r="F443" s="6"/>
      <c r="G443" s="6" t="s">
        <v>1150</v>
      </c>
      <c r="H443" s="6" t="s">
        <v>1151</v>
      </c>
      <c r="I443" s="6" t="s">
        <v>44</v>
      </c>
      <c r="J443" s="7" t="s">
        <v>1152</v>
      </c>
    </row>
    <row r="444" customFormat="false" ht="15" hidden="false" customHeight="false" outlineLevel="0" collapsed="false">
      <c r="A444" s="6" t="s">
        <v>1096</v>
      </c>
      <c r="B444" s="6" t="n">
        <v>20</v>
      </c>
      <c r="C444" s="6" t="n">
        <v>2</v>
      </c>
      <c r="D444" s="6" t="s">
        <v>42</v>
      </c>
      <c r="E444" s="6" t="s">
        <v>973</v>
      </c>
      <c r="F444" s="6"/>
      <c r="G444" s="6" t="s">
        <v>974</v>
      </c>
      <c r="H444" s="6" t="s">
        <v>975</v>
      </c>
      <c r="I444" s="6" t="s">
        <v>1153</v>
      </c>
      <c r="J444" s="7" t="s">
        <v>1154</v>
      </c>
    </row>
    <row r="445" customFormat="false" ht="15" hidden="false" customHeight="false" outlineLevel="0" collapsed="false">
      <c r="A445" s="6" t="s">
        <v>1096</v>
      </c>
      <c r="B445" s="6" t="n">
        <v>21</v>
      </c>
      <c r="C445" s="6" t="n">
        <v>2</v>
      </c>
      <c r="D445" s="6" t="s">
        <v>32</v>
      </c>
      <c r="E445" s="6" t="s">
        <v>966</v>
      </c>
      <c r="F445" s="6"/>
      <c r="G445" s="6" t="s">
        <v>1155</v>
      </c>
      <c r="H445" s="6" t="s">
        <v>1156</v>
      </c>
      <c r="I445" s="6" t="s">
        <v>289</v>
      </c>
      <c r="J445" s="7" t="s">
        <v>1157</v>
      </c>
    </row>
    <row r="446" customFormat="false" ht="15" hidden="false" customHeight="false" outlineLevel="0" collapsed="false">
      <c r="A446" s="6" t="s">
        <v>1096</v>
      </c>
      <c r="B446" s="6" t="n">
        <v>22</v>
      </c>
      <c r="C446" s="6" t="n">
        <v>2</v>
      </c>
      <c r="D446" s="6" t="s">
        <v>32</v>
      </c>
      <c r="E446" s="6" t="s">
        <v>623</v>
      </c>
      <c r="F446" s="6"/>
      <c r="G446" s="6" t="s">
        <v>1158</v>
      </c>
      <c r="H446" s="6" t="s">
        <v>1159</v>
      </c>
      <c r="I446" s="6" t="s">
        <v>87</v>
      </c>
      <c r="J446" s="7" t="s">
        <v>1160</v>
      </c>
    </row>
    <row r="447" customFormat="false" ht="15" hidden="false" customHeight="false" outlineLevel="0" collapsed="false">
      <c r="A447" s="6" t="s">
        <v>1096</v>
      </c>
      <c r="B447" s="6" t="n">
        <v>23</v>
      </c>
      <c r="C447" s="6" t="n">
        <v>2</v>
      </c>
      <c r="D447" s="6" t="s">
        <v>42</v>
      </c>
      <c r="E447" s="6" t="s">
        <v>38</v>
      </c>
      <c r="F447" s="6"/>
      <c r="G447" s="6" t="s">
        <v>431</v>
      </c>
      <c r="H447" s="6" t="s">
        <v>1161</v>
      </c>
      <c r="I447" s="6" t="s">
        <v>388</v>
      </c>
      <c r="J447" s="7" t="s">
        <v>1162</v>
      </c>
    </row>
    <row r="448" customFormat="false" ht="15" hidden="false" customHeight="false" outlineLevel="0" collapsed="false">
      <c r="A448" s="6" t="s">
        <v>1096</v>
      </c>
      <c r="B448" s="6" t="n">
        <v>24</v>
      </c>
      <c r="C448" s="6" t="n">
        <v>2</v>
      </c>
      <c r="D448" s="6" t="s">
        <v>42</v>
      </c>
      <c r="E448" s="6" t="s">
        <v>49</v>
      </c>
      <c r="F448" s="6"/>
      <c r="G448" s="6" t="s">
        <v>451</v>
      </c>
      <c r="H448" s="6" t="s">
        <v>1163</v>
      </c>
      <c r="I448" s="6" t="s">
        <v>181</v>
      </c>
      <c r="J448" s="7" t="s">
        <v>1164</v>
      </c>
    </row>
    <row r="449" customFormat="false" ht="15" hidden="false" customHeight="false" outlineLevel="0" collapsed="false">
      <c r="A449" s="6" t="s">
        <v>1096</v>
      </c>
      <c r="B449" s="6" t="n">
        <v>25</v>
      </c>
      <c r="C449" s="6" t="n">
        <v>2</v>
      </c>
      <c r="D449" s="6" t="s">
        <v>42</v>
      </c>
      <c r="E449" s="6" t="s">
        <v>273</v>
      </c>
      <c r="F449" s="6"/>
      <c r="G449" s="6" t="s">
        <v>1091</v>
      </c>
      <c r="H449" s="6" t="s">
        <v>1092</v>
      </c>
      <c r="I449" s="6" t="s">
        <v>212</v>
      </c>
      <c r="J449" s="7" t="s">
        <v>1165</v>
      </c>
    </row>
    <row r="450" customFormat="false" ht="15" hidden="false" customHeight="false" outlineLevel="0" collapsed="false">
      <c r="A450" s="6" t="s">
        <v>1096</v>
      </c>
      <c r="B450" s="6" t="n">
        <v>26</v>
      </c>
      <c r="C450" s="6" t="n">
        <v>2</v>
      </c>
      <c r="D450" s="6" t="s">
        <v>42</v>
      </c>
      <c r="E450" s="6" t="s">
        <v>305</v>
      </c>
      <c r="F450" s="6"/>
      <c r="G450" s="6" t="s">
        <v>1166</v>
      </c>
      <c r="H450" s="6" t="s">
        <v>1167</v>
      </c>
      <c r="I450" s="6" t="s">
        <v>388</v>
      </c>
      <c r="J450" s="7" t="s">
        <v>1168</v>
      </c>
    </row>
    <row r="451" customFormat="false" ht="15" hidden="false" customHeight="false" outlineLevel="0" collapsed="false">
      <c r="A451" s="6" t="s">
        <v>1096</v>
      </c>
      <c r="B451" s="6" t="n">
        <v>27</v>
      </c>
      <c r="C451" s="6" t="n">
        <v>2</v>
      </c>
      <c r="D451" s="6" t="s">
        <v>42</v>
      </c>
      <c r="E451" s="6" t="s">
        <v>273</v>
      </c>
      <c r="F451" s="6"/>
      <c r="G451" s="6" t="s">
        <v>1169</v>
      </c>
      <c r="H451" s="6" t="s">
        <v>1170</v>
      </c>
      <c r="I451" s="6" t="s">
        <v>128</v>
      </c>
      <c r="J451" s="7" t="s">
        <v>1171</v>
      </c>
    </row>
    <row r="452" customFormat="false" ht="15" hidden="false" customHeight="false" outlineLevel="0" collapsed="false">
      <c r="A452" s="6" t="s">
        <v>1096</v>
      </c>
      <c r="B452" s="6" t="n">
        <v>28</v>
      </c>
      <c r="C452" s="6" t="n">
        <v>2</v>
      </c>
      <c r="D452" s="6" t="s">
        <v>42</v>
      </c>
      <c r="E452" s="6" t="s">
        <v>38</v>
      </c>
      <c r="F452" s="6" t="s">
        <v>375</v>
      </c>
      <c r="G452" s="6" t="s">
        <v>301</v>
      </c>
      <c r="H452" s="6" t="s">
        <v>1172</v>
      </c>
      <c r="I452" s="6" t="s">
        <v>64</v>
      </c>
      <c r="J452" s="7" t="s">
        <v>1173</v>
      </c>
    </row>
    <row r="453" customFormat="false" ht="15" hidden="false" customHeight="false" outlineLevel="0" collapsed="false">
      <c r="A453" s="6" t="s">
        <v>1096</v>
      </c>
      <c r="B453" s="6" t="n">
        <v>29</v>
      </c>
      <c r="C453" s="6" t="n">
        <v>2</v>
      </c>
      <c r="D453" s="6" t="s">
        <v>42</v>
      </c>
      <c r="E453" s="6" t="s">
        <v>49</v>
      </c>
      <c r="F453" s="6"/>
      <c r="G453" s="6" t="s">
        <v>1174</v>
      </c>
      <c r="H453" s="6" t="s">
        <v>1175</v>
      </c>
      <c r="I453" s="6" t="s">
        <v>181</v>
      </c>
      <c r="J453" s="7" t="s">
        <v>1176</v>
      </c>
    </row>
    <row r="454" customFormat="false" ht="15" hidden="false" customHeight="false" outlineLevel="0" collapsed="false">
      <c r="A454" s="6" t="s">
        <v>1096</v>
      </c>
      <c r="B454" s="6" t="n">
        <v>30</v>
      </c>
      <c r="C454" s="6" t="n">
        <v>2</v>
      </c>
      <c r="D454" s="6" t="s">
        <v>42</v>
      </c>
      <c r="E454" s="6" t="s">
        <v>49</v>
      </c>
      <c r="F454" s="6"/>
      <c r="G454" s="6" t="s">
        <v>481</v>
      </c>
      <c r="H454" s="6" t="s">
        <v>1177</v>
      </c>
      <c r="I454" s="6" t="s">
        <v>87</v>
      </c>
      <c r="J454" s="7" t="s">
        <v>1178</v>
      </c>
    </row>
    <row r="455" customFormat="false" ht="15" hidden="false" customHeight="false" outlineLevel="0" collapsed="false">
      <c r="A455" s="6" t="s">
        <v>1096</v>
      </c>
      <c r="B455" s="6" t="n">
        <v>31</v>
      </c>
      <c r="C455" s="6" t="n">
        <v>2</v>
      </c>
      <c r="D455" s="6" t="s">
        <v>42</v>
      </c>
      <c r="E455" s="6" t="s">
        <v>273</v>
      </c>
      <c r="F455" s="6"/>
      <c r="G455" s="6" t="s">
        <v>1179</v>
      </c>
      <c r="H455" s="6" t="s">
        <v>1180</v>
      </c>
      <c r="I455" s="6" t="s">
        <v>212</v>
      </c>
      <c r="J455" s="7" t="s">
        <v>1181</v>
      </c>
    </row>
    <row r="456" customFormat="false" ht="15" hidden="false" customHeight="false" outlineLevel="0" collapsed="false">
      <c r="A456" s="6" t="s">
        <v>1182</v>
      </c>
      <c r="B456" s="6" t="n">
        <v>4</v>
      </c>
      <c r="C456" s="6" t="n">
        <v>1</v>
      </c>
      <c r="D456" s="6" t="s">
        <v>32</v>
      </c>
      <c r="E456" s="6" t="s">
        <v>305</v>
      </c>
      <c r="F456" s="6"/>
      <c r="G456" s="6" t="s">
        <v>1183</v>
      </c>
      <c r="H456" s="6" t="s">
        <v>997</v>
      </c>
      <c r="I456" s="6" t="s">
        <v>278</v>
      </c>
      <c r="J456" s="7" t="s">
        <v>1184</v>
      </c>
    </row>
    <row r="457" customFormat="false" ht="15" hidden="false" customHeight="false" outlineLevel="0" collapsed="false">
      <c r="A457" s="6" t="s">
        <v>1182</v>
      </c>
      <c r="B457" s="6" t="n">
        <v>5</v>
      </c>
      <c r="C457" s="6" t="n">
        <v>1</v>
      </c>
      <c r="D457" s="6" t="s">
        <v>32</v>
      </c>
      <c r="E457" s="6" t="s">
        <v>49</v>
      </c>
      <c r="F457" s="6"/>
      <c r="G457" s="6" t="s">
        <v>296</v>
      </c>
      <c r="H457" s="6" t="s">
        <v>1185</v>
      </c>
      <c r="I457" s="6"/>
      <c r="J457" s="7" t="s">
        <v>1186</v>
      </c>
    </row>
    <row r="458" customFormat="false" ht="15" hidden="false" customHeight="false" outlineLevel="0" collapsed="false">
      <c r="A458" s="6" t="s">
        <v>1182</v>
      </c>
      <c r="B458" s="6" t="n">
        <v>6</v>
      </c>
      <c r="C458" s="6" t="n">
        <v>1</v>
      </c>
      <c r="D458" s="6" t="s">
        <v>42</v>
      </c>
      <c r="E458" s="6" t="s">
        <v>305</v>
      </c>
      <c r="F458" s="6"/>
      <c r="G458" s="6" t="s">
        <v>1187</v>
      </c>
      <c r="H458" s="6" t="s">
        <v>1188</v>
      </c>
      <c r="I458" s="6" t="s">
        <v>1189</v>
      </c>
      <c r="J458" s="7" t="s">
        <v>1190</v>
      </c>
    </row>
    <row r="459" customFormat="false" ht="15" hidden="false" customHeight="false" outlineLevel="0" collapsed="false">
      <c r="A459" s="6" t="s">
        <v>1182</v>
      </c>
      <c r="B459" s="6" t="n">
        <v>7</v>
      </c>
      <c r="C459" s="6" t="n">
        <v>1</v>
      </c>
      <c r="D459" s="6" t="s">
        <v>42</v>
      </c>
      <c r="E459" s="6" t="s">
        <v>49</v>
      </c>
      <c r="F459" s="6"/>
      <c r="G459" s="6" t="s">
        <v>1191</v>
      </c>
      <c r="H459" s="6" t="s">
        <v>1192</v>
      </c>
      <c r="I459" s="6"/>
      <c r="J459" s="7" t="s">
        <v>1193</v>
      </c>
    </row>
    <row r="460" customFormat="false" ht="15" hidden="false" customHeight="false" outlineLevel="0" collapsed="false">
      <c r="A460" s="6" t="s">
        <v>1182</v>
      </c>
      <c r="B460" s="6" t="n">
        <v>8</v>
      </c>
      <c r="C460" s="6" t="n">
        <v>1</v>
      </c>
      <c r="D460" s="6" t="s">
        <v>32</v>
      </c>
      <c r="E460" s="6" t="s">
        <v>49</v>
      </c>
      <c r="F460" s="6"/>
      <c r="G460" s="6" t="s">
        <v>323</v>
      </c>
      <c r="H460" s="6" t="s">
        <v>324</v>
      </c>
      <c r="I460" s="6"/>
      <c r="J460" s="7" t="s">
        <v>325</v>
      </c>
    </row>
    <row r="461" customFormat="false" ht="15" hidden="false" customHeight="false" outlineLevel="0" collapsed="false">
      <c r="A461" s="6" t="s">
        <v>1182</v>
      </c>
      <c r="B461" s="6" t="n">
        <v>9</v>
      </c>
      <c r="C461" s="6" t="n">
        <v>1</v>
      </c>
      <c r="D461" s="6" t="s">
        <v>32</v>
      </c>
      <c r="E461" s="6" t="s">
        <v>305</v>
      </c>
      <c r="F461" s="6"/>
      <c r="G461" s="6" t="s">
        <v>982</v>
      </c>
      <c r="H461" s="6" t="s">
        <v>983</v>
      </c>
      <c r="I461" s="6" t="s">
        <v>44</v>
      </c>
      <c r="J461" s="7" t="s">
        <v>984</v>
      </c>
    </row>
    <row r="462" customFormat="false" ht="15" hidden="false" customHeight="false" outlineLevel="0" collapsed="false">
      <c r="A462" s="6" t="s">
        <v>1182</v>
      </c>
      <c r="B462" s="6" t="n">
        <v>13</v>
      </c>
      <c r="C462" s="6" t="n">
        <v>1</v>
      </c>
      <c r="D462" s="6" t="s">
        <v>42</v>
      </c>
      <c r="E462" s="6" t="s">
        <v>312</v>
      </c>
      <c r="F462" s="6"/>
      <c r="G462" s="6" t="s">
        <v>1059</v>
      </c>
      <c r="H462" s="6" t="s">
        <v>1060</v>
      </c>
      <c r="I462" s="6"/>
      <c r="J462" s="7" t="s">
        <v>1194</v>
      </c>
    </row>
    <row r="463" customFormat="false" ht="15" hidden="false" customHeight="false" outlineLevel="0" collapsed="false">
      <c r="A463" s="6" t="s">
        <v>1182</v>
      </c>
      <c r="B463" s="6" t="n">
        <v>14</v>
      </c>
      <c r="C463" s="6" t="n">
        <v>1</v>
      </c>
      <c r="D463" s="6" t="s">
        <v>42</v>
      </c>
      <c r="E463" s="6" t="s">
        <v>1195</v>
      </c>
      <c r="F463" s="6"/>
      <c r="G463" s="6" t="s">
        <v>1196</v>
      </c>
      <c r="H463" s="6" t="s">
        <v>1197</v>
      </c>
      <c r="I463" s="6"/>
      <c r="J463" s="7" t="s">
        <v>1198</v>
      </c>
    </row>
    <row r="464" customFormat="false" ht="15" hidden="false" customHeight="false" outlineLevel="0" collapsed="false">
      <c r="A464" s="6" t="s">
        <v>1182</v>
      </c>
      <c r="B464" s="6" t="n">
        <v>15</v>
      </c>
      <c r="C464" s="6" t="n">
        <v>1</v>
      </c>
      <c r="D464" s="6" t="s">
        <v>32</v>
      </c>
      <c r="E464" s="6" t="s">
        <v>49</v>
      </c>
      <c r="F464" s="6"/>
      <c r="G464" s="6" t="s">
        <v>280</v>
      </c>
      <c r="H464" s="6" t="s">
        <v>1199</v>
      </c>
      <c r="I464" s="6"/>
      <c r="J464" s="7" t="s">
        <v>281</v>
      </c>
    </row>
    <row r="465" customFormat="false" ht="15" hidden="false" customHeight="false" outlineLevel="0" collapsed="false">
      <c r="A465" s="6" t="s">
        <v>1182</v>
      </c>
      <c r="B465" s="6" t="n">
        <v>16</v>
      </c>
      <c r="C465" s="6" t="n">
        <v>1</v>
      </c>
      <c r="D465" s="6" t="s">
        <v>32</v>
      </c>
      <c r="E465" s="6" t="s">
        <v>305</v>
      </c>
      <c r="F465" s="6"/>
      <c r="G465" s="6" t="s">
        <v>581</v>
      </c>
      <c r="H465" s="6" t="s">
        <v>1108</v>
      </c>
      <c r="I465" s="6" t="s">
        <v>40</v>
      </c>
      <c r="J465" s="7" t="s">
        <v>1109</v>
      </c>
    </row>
    <row r="466" customFormat="false" ht="15" hidden="false" customHeight="false" outlineLevel="0" collapsed="false">
      <c r="A466" s="6" t="s">
        <v>1182</v>
      </c>
      <c r="B466" s="6" t="n">
        <v>17</v>
      </c>
      <c r="C466" s="6" t="n">
        <v>1</v>
      </c>
      <c r="D466" s="6" t="s">
        <v>42</v>
      </c>
      <c r="E466" s="6" t="s">
        <v>49</v>
      </c>
      <c r="F466" s="6"/>
      <c r="G466" s="6" t="s">
        <v>321</v>
      </c>
      <c r="H466" s="6" t="s">
        <v>1200</v>
      </c>
      <c r="I466" s="6"/>
      <c r="J466" s="7" t="s">
        <v>1201</v>
      </c>
    </row>
    <row r="467" customFormat="false" ht="15" hidden="false" customHeight="false" outlineLevel="0" collapsed="false">
      <c r="A467" s="6" t="s">
        <v>1182</v>
      </c>
      <c r="B467" s="6" t="n">
        <v>18</v>
      </c>
      <c r="C467" s="6" t="n">
        <v>1</v>
      </c>
      <c r="D467" s="6" t="s">
        <v>42</v>
      </c>
      <c r="E467" s="6" t="s">
        <v>38</v>
      </c>
      <c r="F467" s="6"/>
      <c r="G467" s="6" t="s">
        <v>1202</v>
      </c>
      <c r="H467" s="6" t="s">
        <v>1203</v>
      </c>
      <c r="I467" s="6"/>
      <c r="J467" s="7" t="s">
        <v>1204</v>
      </c>
    </row>
    <row r="468" customFormat="false" ht="15" hidden="false" customHeight="false" outlineLevel="0" collapsed="false">
      <c r="A468" s="6" t="s">
        <v>1182</v>
      </c>
      <c r="B468" s="6" t="n">
        <v>19</v>
      </c>
      <c r="C468" s="6" t="n">
        <v>1</v>
      </c>
      <c r="D468" s="6" t="s">
        <v>42</v>
      </c>
      <c r="E468" s="6" t="s">
        <v>38</v>
      </c>
      <c r="F468" s="6" t="s">
        <v>269</v>
      </c>
      <c r="G468" s="6" t="s">
        <v>270</v>
      </c>
      <c r="H468" s="6" t="s">
        <v>1205</v>
      </c>
      <c r="I468" s="6"/>
      <c r="J468" s="7" t="s">
        <v>1206</v>
      </c>
    </row>
    <row r="469" customFormat="false" ht="15" hidden="false" customHeight="false" outlineLevel="0" collapsed="false">
      <c r="A469" s="6" t="s">
        <v>1182</v>
      </c>
      <c r="B469" s="6" t="n">
        <v>20</v>
      </c>
      <c r="C469" s="6" t="n">
        <v>1</v>
      </c>
      <c r="D469" s="6" t="s">
        <v>42</v>
      </c>
      <c r="E469" s="6" t="s">
        <v>305</v>
      </c>
      <c r="F469" s="6"/>
      <c r="G469" s="6" t="s">
        <v>1207</v>
      </c>
      <c r="H469" s="6" t="s">
        <v>1208</v>
      </c>
      <c r="I469" s="6"/>
      <c r="J469" s="7" t="s">
        <v>1209</v>
      </c>
    </row>
    <row r="470" customFormat="false" ht="15" hidden="false" customHeight="false" outlineLevel="0" collapsed="false">
      <c r="A470" s="6" t="s">
        <v>1182</v>
      </c>
      <c r="B470" s="6" t="n">
        <v>21</v>
      </c>
      <c r="C470" s="6" t="n">
        <v>1</v>
      </c>
      <c r="D470" s="6" t="s">
        <v>42</v>
      </c>
      <c r="E470" s="6" t="s">
        <v>273</v>
      </c>
      <c r="F470" s="6"/>
      <c r="G470" s="6" t="s">
        <v>1049</v>
      </c>
      <c r="H470" s="6" t="s">
        <v>1050</v>
      </c>
      <c r="I470" s="6"/>
      <c r="J470" s="7" t="s">
        <v>1210</v>
      </c>
    </row>
    <row r="471" customFormat="false" ht="15" hidden="false" customHeight="false" outlineLevel="0" collapsed="false">
      <c r="A471" s="6" t="s">
        <v>1182</v>
      </c>
      <c r="B471" s="6" t="n">
        <v>24</v>
      </c>
      <c r="C471" s="6" t="n">
        <v>1</v>
      </c>
      <c r="D471" s="6" t="s">
        <v>42</v>
      </c>
      <c r="E471" s="6" t="s">
        <v>49</v>
      </c>
      <c r="F471" s="6"/>
      <c r="G471" s="6" t="s">
        <v>1211</v>
      </c>
      <c r="H471" s="6" t="s">
        <v>1212</v>
      </c>
      <c r="I471" s="6"/>
      <c r="J471" s="7" t="s">
        <v>1213</v>
      </c>
    </row>
    <row r="472" customFormat="false" ht="15" hidden="false" customHeight="false" outlineLevel="0" collapsed="false">
      <c r="A472" s="6" t="s">
        <v>1182</v>
      </c>
      <c r="B472" s="6" t="n">
        <v>25</v>
      </c>
      <c r="C472" s="6" t="n">
        <v>1</v>
      </c>
      <c r="D472" s="6" t="s">
        <v>42</v>
      </c>
      <c r="E472" s="6" t="s">
        <v>49</v>
      </c>
      <c r="F472" s="6"/>
      <c r="G472" s="6" t="s">
        <v>447</v>
      </c>
      <c r="H472" s="6" t="s">
        <v>1046</v>
      </c>
      <c r="I472" s="6"/>
      <c r="J472" s="7" t="s">
        <v>1214</v>
      </c>
    </row>
    <row r="473" customFormat="false" ht="15" hidden="false" customHeight="false" outlineLevel="0" collapsed="false">
      <c r="A473" s="6" t="s">
        <v>1182</v>
      </c>
      <c r="B473" s="6" t="n">
        <v>26</v>
      </c>
      <c r="C473" s="6" t="n">
        <v>1</v>
      </c>
      <c r="D473" s="6" t="s">
        <v>42</v>
      </c>
      <c r="E473" s="6" t="s">
        <v>38</v>
      </c>
      <c r="F473" s="6"/>
      <c r="G473" s="6" t="s">
        <v>1123</v>
      </c>
      <c r="H473" s="6" t="s">
        <v>1124</v>
      </c>
      <c r="I473" s="6"/>
      <c r="J473" s="7" t="s">
        <v>1215</v>
      </c>
    </row>
    <row r="474" customFormat="false" ht="15" hidden="false" customHeight="false" outlineLevel="0" collapsed="false">
      <c r="A474" s="6" t="s">
        <v>1182</v>
      </c>
      <c r="B474" s="6" t="n">
        <v>27</v>
      </c>
      <c r="C474" s="6" t="n">
        <v>1</v>
      </c>
      <c r="D474" s="6" t="s">
        <v>42</v>
      </c>
      <c r="E474" s="6" t="s">
        <v>66</v>
      </c>
      <c r="F474" s="6"/>
      <c r="G474" s="6" t="s">
        <v>1216</v>
      </c>
      <c r="H474" s="6" t="s">
        <v>1217</v>
      </c>
      <c r="I474" s="6" t="s">
        <v>82</v>
      </c>
      <c r="J474" s="7" t="s">
        <v>1218</v>
      </c>
    </row>
    <row r="475" customFormat="false" ht="15" hidden="false" customHeight="false" outlineLevel="0" collapsed="false">
      <c r="A475" s="6" t="s">
        <v>1182</v>
      </c>
      <c r="B475" s="6" t="n">
        <v>28</v>
      </c>
      <c r="C475" s="6" t="n">
        <v>1</v>
      </c>
      <c r="D475" s="6" t="s">
        <v>42</v>
      </c>
      <c r="E475" s="6" t="s">
        <v>273</v>
      </c>
      <c r="F475" s="6"/>
      <c r="G475" s="6" t="s">
        <v>999</v>
      </c>
      <c r="H475" s="6" t="s">
        <v>1000</v>
      </c>
      <c r="I475" s="6"/>
      <c r="J475" s="7" t="s">
        <v>1219</v>
      </c>
    </row>
    <row r="476" customFormat="false" ht="15" hidden="false" customHeight="false" outlineLevel="0" collapsed="false">
      <c r="A476" s="6" t="s">
        <v>1182</v>
      </c>
      <c r="B476" s="6" t="n">
        <v>29</v>
      </c>
      <c r="C476" s="6" t="n">
        <v>1</v>
      </c>
      <c r="D476" s="6" t="s">
        <v>42</v>
      </c>
      <c r="E476" s="6" t="s">
        <v>38</v>
      </c>
      <c r="F476" s="6"/>
      <c r="G476" s="6" t="s">
        <v>991</v>
      </c>
      <c r="H476" s="6" t="s">
        <v>992</v>
      </c>
      <c r="I476" s="6"/>
      <c r="J476" s="7" t="s">
        <v>1220</v>
      </c>
    </row>
    <row r="477" customFormat="false" ht="15" hidden="false" customHeight="false" outlineLevel="0" collapsed="false">
      <c r="A477" s="6" t="s">
        <v>1182</v>
      </c>
      <c r="B477" s="6" t="n">
        <v>30</v>
      </c>
      <c r="C477" s="6" t="n">
        <v>1</v>
      </c>
      <c r="D477" s="6" t="s">
        <v>42</v>
      </c>
      <c r="E477" s="6" t="s">
        <v>273</v>
      </c>
      <c r="F477" s="6"/>
      <c r="G477" s="6" t="s">
        <v>1119</v>
      </c>
      <c r="H477" s="6" t="s">
        <v>1120</v>
      </c>
      <c r="I477" s="6"/>
      <c r="J477" s="7" t="s">
        <v>1221</v>
      </c>
    </row>
    <row r="478" customFormat="false" ht="15" hidden="false" customHeight="false" outlineLevel="0" collapsed="false">
      <c r="A478" s="6" t="s">
        <v>1182</v>
      </c>
      <c r="B478" s="6" t="n">
        <v>3</v>
      </c>
      <c r="C478" s="6" t="n">
        <v>2</v>
      </c>
      <c r="D478" s="6" t="s">
        <v>32</v>
      </c>
      <c r="E478" s="6" t="s">
        <v>273</v>
      </c>
      <c r="F478" s="6"/>
      <c r="G478" s="6" t="s">
        <v>453</v>
      </c>
      <c r="H478" s="6" t="s">
        <v>1222</v>
      </c>
      <c r="I478" s="6"/>
      <c r="J478" s="7" t="s">
        <v>1223</v>
      </c>
    </row>
    <row r="479" customFormat="false" ht="15" hidden="false" customHeight="false" outlineLevel="0" collapsed="false">
      <c r="A479" s="6" t="s">
        <v>1182</v>
      </c>
      <c r="B479" s="6" t="n">
        <v>4</v>
      </c>
      <c r="C479" s="6" t="n">
        <v>2</v>
      </c>
      <c r="D479" s="6" t="s">
        <v>32</v>
      </c>
      <c r="E479" s="6" t="s">
        <v>273</v>
      </c>
      <c r="F479" s="6"/>
      <c r="G479" s="6" t="s">
        <v>617</v>
      </c>
      <c r="H479" s="6" t="s">
        <v>1047</v>
      </c>
      <c r="I479" s="6"/>
      <c r="J479" s="7" t="s">
        <v>618</v>
      </c>
    </row>
    <row r="480" customFormat="false" ht="15" hidden="false" customHeight="false" outlineLevel="0" collapsed="false">
      <c r="A480" s="6" t="s">
        <v>1182</v>
      </c>
      <c r="B480" s="6" t="n">
        <v>6</v>
      </c>
      <c r="C480" s="6" t="n">
        <v>2</v>
      </c>
      <c r="D480" s="6" t="s">
        <v>42</v>
      </c>
      <c r="E480" s="6" t="s">
        <v>49</v>
      </c>
      <c r="F480" s="6"/>
      <c r="G480" s="6" t="s">
        <v>1224</v>
      </c>
      <c r="H480" s="6" t="s">
        <v>1225</v>
      </c>
      <c r="I480" s="6"/>
      <c r="J480" s="7" t="s">
        <v>1226</v>
      </c>
    </row>
    <row r="481" customFormat="false" ht="15" hidden="false" customHeight="false" outlineLevel="0" collapsed="false">
      <c r="A481" s="6" t="s">
        <v>1182</v>
      </c>
      <c r="B481" s="6" t="n">
        <v>7</v>
      </c>
      <c r="C481" s="6" t="n">
        <v>2</v>
      </c>
      <c r="D481" s="6" t="s">
        <v>42</v>
      </c>
      <c r="E481" s="6" t="s">
        <v>49</v>
      </c>
      <c r="F481" s="6"/>
      <c r="G481" s="6" t="s">
        <v>506</v>
      </c>
      <c r="H481" s="6" t="s">
        <v>1227</v>
      </c>
      <c r="I481" s="6"/>
      <c r="J481" s="7" t="s">
        <v>1228</v>
      </c>
    </row>
    <row r="482" customFormat="false" ht="15" hidden="false" customHeight="false" outlineLevel="0" collapsed="false">
      <c r="A482" s="6" t="s">
        <v>1182</v>
      </c>
      <c r="B482" s="6" t="n">
        <v>8</v>
      </c>
      <c r="C482" s="6" t="n">
        <v>2</v>
      </c>
      <c r="D482" s="6" t="s">
        <v>32</v>
      </c>
      <c r="E482" s="6" t="s">
        <v>49</v>
      </c>
      <c r="F482" s="6"/>
      <c r="G482" s="6" t="s">
        <v>571</v>
      </c>
      <c r="H482" s="6" t="s">
        <v>1068</v>
      </c>
      <c r="I482" s="6"/>
      <c r="J482" s="7" t="s">
        <v>572</v>
      </c>
    </row>
    <row r="483" customFormat="false" ht="15" hidden="false" customHeight="false" outlineLevel="0" collapsed="false">
      <c r="A483" s="6" t="s">
        <v>1182</v>
      </c>
      <c r="B483" s="6" t="n">
        <v>9</v>
      </c>
      <c r="C483" s="6" t="n">
        <v>2</v>
      </c>
      <c r="D483" s="6" t="s">
        <v>32</v>
      </c>
      <c r="E483" s="6" t="s">
        <v>49</v>
      </c>
      <c r="F483" s="6"/>
      <c r="G483" s="6" t="s">
        <v>1229</v>
      </c>
      <c r="H483" s="6" t="s">
        <v>1230</v>
      </c>
      <c r="I483" s="6"/>
      <c r="J483" s="7" t="s">
        <v>1231</v>
      </c>
    </row>
    <row r="484" customFormat="false" ht="15" hidden="false" customHeight="false" outlineLevel="0" collapsed="false">
      <c r="A484" s="6" t="s">
        <v>1182</v>
      </c>
      <c r="B484" s="6" t="n">
        <v>13</v>
      </c>
      <c r="C484" s="6" t="n">
        <v>2</v>
      </c>
      <c r="D484" s="6" t="s">
        <v>42</v>
      </c>
      <c r="E484" s="6" t="s">
        <v>49</v>
      </c>
      <c r="F484" s="6"/>
      <c r="G484" s="6" t="s">
        <v>514</v>
      </c>
      <c r="H484" s="6" t="s">
        <v>1110</v>
      </c>
      <c r="I484" s="6"/>
      <c r="J484" s="7" t="s">
        <v>1232</v>
      </c>
    </row>
    <row r="485" customFormat="false" ht="15" hidden="false" customHeight="false" outlineLevel="0" collapsed="false">
      <c r="A485" s="6" t="s">
        <v>1182</v>
      </c>
      <c r="B485" s="6" t="n">
        <v>14</v>
      </c>
      <c r="C485" s="6" t="n">
        <v>2</v>
      </c>
      <c r="D485" s="6" t="s">
        <v>42</v>
      </c>
      <c r="E485" s="6" t="s">
        <v>38</v>
      </c>
      <c r="F485" s="6"/>
      <c r="G485" s="6" t="s">
        <v>1233</v>
      </c>
      <c r="H485" s="6" t="s">
        <v>1234</v>
      </c>
      <c r="I485" s="6"/>
      <c r="J485" s="7" t="s">
        <v>1235</v>
      </c>
    </row>
    <row r="486" customFormat="false" ht="15" hidden="false" customHeight="false" outlineLevel="0" collapsed="false">
      <c r="A486" s="6" t="s">
        <v>1182</v>
      </c>
      <c r="B486" s="6" t="n">
        <v>15</v>
      </c>
      <c r="C486" s="6" t="n">
        <v>2</v>
      </c>
      <c r="D486" s="6" t="s">
        <v>32</v>
      </c>
      <c r="E486" s="6" t="s">
        <v>1236</v>
      </c>
      <c r="F486" s="6"/>
      <c r="G486" s="6" t="s">
        <v>1237</v>
      </c>
      <c r="H486" s="6" t="s">
        <v>1238</v>
      </c>
      <c r="I486" s="6"/>
      <c r="J486" s="7" t="s">
        <v>1239</v>
      </c>
    </row>
    <row r="487" customFormat="false" ht="15" hidden="false" customHeight="false" outlineLevel="0" collapsed="false">
      <c r="A487" s="6" t="s">
        <v>1182</v>
      </c>
      <c r="B487" s="6" t="n">
        <v>16</v>
      </c>
      <c r="C487" s="6" t="n">
        <v>2</v>
      </c>
      <c r="D487" s="6" t="s">
        <v>32</v>
      </c>
      <c r="E487" s="6" t="s">
        <v>966</v>
      </c>
      <c r="F487" s="6"/>
      <c r="G487" s="6" t="s">
        <v>1155</v>
      </c>
      <c r="H487" s="6" t="s">
        <v>1156</v>
      </c>
      <c r="I487" s="6"/>
      <c r="J487" s="7" t="s">
        <v>1157</v>
      </c>
    </row>
    <row r="488" customFormat="false" ht="15" hidden="false" customHeight="false" outlineLevel="0" collapsed="false">
      <c r="A488" s="6" t="s">
        <v>1182</v>
      </c>
      <c r="B488" s="6" t="n">
        <v>17</v>
      </c>
      <c r="C488" s="6" t="n">
        <v>2</v>
      </c>
      <c r="D488" s="6" t="s">
        <v>42</v>
      </c>
      <c r="E488" s="6" t="s">
        <v>273</v>
      </c>
      <c r="F488" s="6"/>
      <c r="G488" s="6" t="s">
        <v>1016</v>
      </c>
      <c r="H488" s="6" t="s">
        <v>1017</v>
      </c>
      <c r="I488" s="6"/>
      <c r="J488" s="7" t="s">
        <v>1240</v>
      </c>
    </row>
    <row r="489" customFormat="false" ht="15" hidden="false" customHeight="false" outlineLevel="0" collapsed="false">
      <c r="A489" s="6" t="s">
        <v>1182</v>
      </c>
      <c r="B489" s="6" t="n">
        <v>18</v>
      </c>
      <c r="C489" s="6" t="n">
        <v>2</v>
      </c>
      <c r="D489" s="6" t="s">
        <v>42</v>
      </c>
      <c r="E489" s="6" t="s">
        <v>49</v>
      </c>
      <c r="F489" s="6"/>
      <c r="G489" s="6" t="s">
        <v>466</v>
      </c>
      <c r="H489" s="6" t="s">
        <v>1003</v>
      </c>
      <c r="I489" s="6"/>
      <c r="J489" s="7" t="s">
        <v>1241</v>
      </c>
    </row>
    <row r="490" customFormat="false" ht="15" hidden="false" customHeight="false" outlineLevel="0" collapsed="false">
      <c r="A490" s="6" t="s">
        <v>1182</v>
      </c>
      <c r="B490" s="6" t="n">
        <v>19</v>
      </c>
      <c r="C490" s="6" t="n">
        <v>2</v>
      </c>
      <c r="D490" s="6" t="s">
        <v>32</v>
      </c>
      <c r="E490" s="6" t="s">
        <v>273</v>
      </c>
      <c r="F490" s="6"/>
      <c r="G490" s="6" t="s">
        <v>1242</v>
      </c>
      <c r="H490" s="6" t="s">
        <v>1243</v>
      </c>
      <c r="I490" s="6" t="s">
        <v>104</v>
      </c>
      <c r="J490" s="7" t="s">
        <v>1244</v>
      </c>
    </row>
    <row r="491" customFormat="false" ht="15" hidden="false" customHeight="false" outlineLevel="0" collapsed="false">
      <c r="A491" s="6" t="s">
        <v>1182</v>
      </c>
      <c r="B491" s="6" t="n">
        <v>21</v>
      </c>
      <c r="C491" s="6" t="n">
        <v>2</v>
      </c>
      <c r="D491" s="6" t="s">
        <v>42</v>
      </c>
      <c r="E491" s="6" t="s">
        <v>38</v>
      </c>
      <c r="F491" s="6"/>
      <c r="G491" s="6" t="s">
        <v>1245</v>
      </c>
      <c r="H491" s="6" t="s">
        <v>1246</v>
      </c>
      <c r="I491" s="6"/>
      <c r="J491" s="7" t="s">
        <v>1247</v>
      </c>
    </row>
    <row r="492" customFormat="false" ht="15" hidden="false" customHeight="false" outlineLevel="0" collapsed="false">
      <c r="A492" s="6" t="s">
        <v>1182</v>
      </c>
      <c r="B492" s="6" t="n">
        <v>22</v>
      </c>
      <c r="C492" s="6" t="n">
        <v>2</v>
      </c>
      <c r="D492" s="6" t="s">
        <v>42</v>
      </c>
      <c r="E492" s="6" t="s">
        <v>273</v>
      </c>
      <c r="F492" s="6"/>
      <c r="G492" s="6" t="s">
        <v>1100</v>
      </c>
      <c r="H492" s="6" t="s">
        <v>1101</v>
      </c>
      <c r="I492" s="6"/>
      <c r="J492" s="7" t="s">
        <v>1248</v>
      </c>
    </row>
    <row r="493" customFormat="false" ht="15" hidden="false" customHeight="false" outlineLevel="0" collapsed="false">
      <c r="A493" s="6" t="s">
        <v>1182</v>
      </c>
      <c r="B493" s="6" t="n">
        <v>27</v>
      </c>
      <c r="C493" s="6" t="n">
        <v>2</v>
      </c>
      <c r="D493" s="6" t="s">
        <v>42</v>
      </c>
      <c r="E493" s="6" t="s">
        <v>66</v>
      </c>
      <c r="F493" s="6"/>
      <c r="G493" s="6" t="s">
        <v>1249</v>
      </c>
      <c r="H493" s="6" t="s">
        <v>1250</v>
      </c>
      <c r="I493" s="6" t="s">
        <v>178</v>
      </c>
      <c r="J493" s="7" t="s">
        <v>1251</v>
      </c>
    </row>
    <row r="494" customFormat="false" ht="15" hidden="false" customHeight="false" outlineLevel="0" collapsed="false">
      <c r="A494" s="6" t="s">
        <v>1182</v>
      </c>
      <c r="B494" s="6" t="n">
        <v>28</v>
      </c>
      <c r="C494" s="6" t="n">
        <v>2</v>
      </c>
      <c r="D494" s="6" t="s">
        <v>42</v>
      </c>
      <c r="E494" s="6" t="s">
        <v>305</v>
      </c>
      <c r="F494" s="6"/>
      <c r="G494" s="6" t="s">
        <v>1166</v>
      </c>
      <c r="H494" s="6" t="s">
        <v>1167</v>
      </c>
      <c r="I494" s="6" t="s">
        <v>40</v>
      </c>
      <c r="J494" s="7" t="s">
        <v>1252</v>
      </c>
    </row>
    <row r="495" customFormat="false" ht="15" hidden="false" customHeight="false" outlineLevel="0" collapsed="false">
      <c r="A495" s="6" t="s">
        <v>1182</v>
      </c>
      <c r="B495" s="6" t="n">
        <v>29</v>
      </c>
      <c r="C495" s="6" t="n">
        <v>2</v>
      </c>
      <c r="D495" s="6" t="s">
        <v>42</v>
      </c>
      <c r="E495" s="6" t="s">
        <v>973</v>
      </c>
      <c r="F495" s="6"/>
      <c r="G495" s="6" t="s">
        <v>974</v>
      </c>
      <c r="H495" s="6" t="s">
        <v>975</v>
      </c>
      <c r="I495" s="6" t="s">
        <v>1153</v>
      </c>
      <c r="J495" s="7" t="s">
        <v>1253</v>
      </c>
    </row>
    <row r="496" customFormat="false" ht="15" hidden="false" customHeight="false" outlineLevel="0" collapsed="false">
      <c r="A496" s="6" t="s">
        <v>1182</v>
      </c>
      <c r="B496" s="6" t="n">
        <v>30</v>
      </c>
      <c r="C496" s="6" t="n">
        <v>2</v>
      </c>
      <c r="D496" s="6" t="s">
        <v>42</v>
      </c>
      <c r="E496" s="6" t="s">
        <v>273</v>
      </c>
      <c r="F496" s="6"/>
      <c r="G496" s="6" t="s">
        <v>1144</v>
      </c>
      <c r="H496" s="6" t="s">
        <v>1145</v>
      </c>
      <c r="I496" s="6"/>
      <c r="J496" s="7" t="s">
        <v>1254</v>
      </c>
    </row>
    <row r="497" customFormat="false" ht="15" hidden="false" customHeight="false" outlineLevel="0" collapsed="false">
      <c r="A497" s="6" t="s">
        <v>1182</v>
      </c>
      <c r="B497" s="6" t="n">
        <v>31</v>
      </c>
      <c r="C497" s="6" t="n">
        <v>2</v>
      </c>
      <c r="D497" s="6" t="s">
        <v>42</v>
      </c>
      <c r="E497" s="6" t="s">
        <v>273</v>
      </c>
      <c r="F497" s="6"/>
      <c r="G497" s="6" t="s">
        <v>1255</v>
      </c>
      <c r="H497" s="6" t="s">
        <v>1256</v>
      </c>
      <c r="I497" s="6"/>
      <c r="J497" s="7" t="s">
        <v>1257</v>
      </c>
    </row>
    <row r="498" customFormat="false" ht="15" hidden="false" customHeight="false" outlineLevel="0" collapsed="false">
      <c r="A498" s="6" t="s">
        <v>1182</v>
      </c>
      <c r="B498" s="6" t="n">
        <v>32</v>
      </c>
      <c r="C498" s="6" t="n">
        <v>2</v>
      </c>
      <c r="D498" s="6" t="s">
        <v>42</v>
      </c>
      <c r="E498" s="6" t="s">
        <v>38</v>
      </c>
      <c r="F498" s="6"/>
      <c r="G498" s="6" t="s">
        <v>299</v>
      </c>
      <c r="H498" s="6" t="s">
        <v>1258</v>
      </c>
      <c r="I498" s="6"/>
      <c r="J498" s="7" t="s">
        <v>1259</v>
      </c>
    </row>
    <row r="499" customFormat="false" ht="15" hidden="false" customHeight="false" outlineLevel="0" collapsed="false">
      <c r="A499" s="6" t="s">
        <v>1182</v>
      </c>
      <c r="B499" s="6" t="n">
        <v>33</v>
      </c>
      <c r="C499" s="6" t="n">
        <v>2</v>
      </c>
      <c r="D499" s="6" t="s">
        <v>42</v>
      </c>
      <c r="E499" s="6" t="s">
        <v>305</v>
      </c>
      <c r="F499" s="6"/>
      <c r="G499" s="6" t="s">
        <v>1147</v>
      </c>
      <c r="H499" s="6" t="s">
        <v>1148</v>
      </c>
      <c r="I499" s="6"/>
      <c r="J499" s="7" t="s">
        <v>1260</v>
      </c>
    </row>
    <row r="500" customFormat="false" ht="15" hidden="false" customHeight="false" outlineLevel="0" collapsed="false">
      <c r="A500" s="6" t="s">
        <v>1261</v>
      </c>
      <c r="B500" s="6" t="n">
        <v>3</v>
      </c>
      <c r="C500" s="6" t="n">
        <v>1</v>
      </c>
      <c r="D500" s="6" t="s">
        <v>32</v>
      </c>
      <c r="E500" s="6" t="s">
        <v>49</v>
      </c>
      <c r="F500" s="6"/>
      <c r="G500" s="6" t="s">
        <v>666</v>
      </c>
      <c r="H500" s="6" t="s">
        <v>49</v>
      </c>
      <c r="I500" s="6" t="s">
        <v>212</v>
      </c>
      <c r="J500" s="7" t="s">
        <v>668</v>
      </c>
    </row>
    <row r="501" customFormat="false" ht="15" hidden="false" customHeight="false" outlineLevel="0" collapsed="false">
      <c r="A501" s="6" t="s">
        <v>1261</v>
      </c>
      <c r="B501" s="6" t="n">
        <v>4</v>
      </c>
      <c r="C501" s="6" t="n">
        <v>1</v>
      </c>
      <c r="D501" s="6" t="s">
        <v>32</v>
      </c>
      <c r="E501" s="6" t="s">
        <v>49</v>
      </c>
      <c r="F501" s="6"/>
      <c r="G501" s="6" t="s">
        <v>103</v>
      </c>
      <c r="H501" s="6" t="s">
        <v>49</v>
      </c>
      <c r="I501" s="6" t="s">
        <v>104</v>
      </c>
      <c r="J501" s="7" t="s">
        <v>105</v>
      </c>
    </row>
    <row r="502" customFormat="false" ht="15" hidden="false" customHeight="false" outlineLevel="0" collapsed="false">
      <c r="A502" s="6" t="s">
        <v>1261</v>
      </c>
      <c r="B502" s="6" t="n">
        <v>5</v>
      </c>
      <c r="C502" s="6" t="n">
        <v>1</v>
      </c>
      <c r="D502" s="6" t="s">
        <v>42</v>
      </c>
      <c r="E502" s="6" t="s">
        <v>38</v>
      </c>
      <c r="F502" s="6"/>
      <c r="G502" s="6" t="s">
        <v>896</v>
      </c>
      <c r="H502" s="6" t="s">
        <v>38</v>
      </c>
      <c r="I502" s="6" t="s">
        <v>201</v>
      </c>
      <c r="J502" s="7" t="s">
        <v>1262</v>
      </c>
    </row>
    <row r="503" customFormat="false" ht="15" hidden="false" customHeight="false" outlineLevel="0" collapsed="false">
      <c r="A503" s="6" t="s">
        <v>1261</v>
      </c>
      <c r="B503" s="6" t="n">
        <v>6</v>
      </c>
      <c r="C503" s="6" t="n">
        <v>1</v>
      </c>
      <c r="D503" s="6" t="s">
        <v>42</v>
      </c>
      <c r="E503" s="6" t="s">
        <v>38</v>
      </c>
      <c r="F503" s="6"/>
      <c r="G503" s="6" t="s">
        <v>138</v>
      </c>
      <c r="H503" s="6" t="s">
        <v>38</v>
      </c>
      <c r="I503" s="6" t="s">
        <v>104</v>
      </c>
      <c r="J503" s="7" t="s">
        <v>1263</v>
      </c>
    </row>
    <row r="504" customFormat="false" ht="15" hidden="false" customHeight="false" outlineLevel="0" collapsed="false">
      <c r="A504" s="6" t="s">
        <v>1261</v>
      </c>
      <c r="B504" s="6" t="n">
        <v>7</v>
      </c>
      <c r="C504" s="6" t="n">
        <v>1</v>
      </c>
      <c r="D504" s="6" t="s">
        <v>32</v>
      </c>
      <c r="E504" s="6" t="s">
        <v>49</v>
      </c>
      <c r="F504" s="6"/>
      <c r="G504" s="6" t="s">
        <v>53</v>
      </c>
      <c r="H504" s="6" t="s">
        <v>49</v>
      </c>
      <c r="I504" s="6" t="s">
        <v>51</v>
      </c>
      <c r="J504" s="7" t="s">
        <v>54</v>
      </c>
    </row>
    <row r="505" customFormat="false" ht="15" hidden="false" customHeight="false" outlineLevel="0" collapsed="false">
      <c r="A505" s="6" t="s">
        <v>1261</v>
      </c>
      <c r="B505" s="6" t="n">
        <v>8</v>
      </c>
      <c r="C505" s="6" t="n">
        <v>1</v>
      </c>
      <c r="D505" s="6" t="s">
        <v>32</v>
      </c>
      <c r="E505" s="6" t="s">
        <v>49</v>
      </c>
      <c r="F505" s="6"/>
      <c r="G505" s="6" t="s">
        <v>676</v>
      </c>
      <c r="H505" s="6" t="s">
        <v>49</v>
      </c>
      <c r="I505" s="6" t="s">
        <v>201</v>
      </c>
      <c r="J505" s="7" t="s">
        <v>678</v>
      </c>
    </row>
    <row r="506" customFormat="false" ht="15" hidden="false" customHeight="false" outlineLevel="0" collapsed="false">
      <c r="A506" s="6" t="s">
        <v>1261</v>
      </c>
      <c r="B506" s="6" t="n">
        <v>10</v>
      </c>
      <c r="C506" s="6" t="n">
        <v>1</v>
      </c>
      <c r="D506" s="6" t="s">
        <v>42</v>
      </c>
      <c r="E506" s="6" t="s">
        <v>38</v>
      </c>
      <c r="F506" s="6"/>
      <c r="G506" s="6" t="s">
        <v>1264</v>
      </c>
      <c r="H506" s="6" t="s">
        <v>38</v>
      </c>
      <c r="I506" s="6" t="s">
        <v>201</v>
      </c>
      <c r="J506" s="7" t="s">
        <v>1265</v>
      </c>
    </row>
    <row r="507" customFormat="false" ht="15" hidden="false" customHeight="false" outlineLevel="0" collapsed="false">
      <c r="A507" s="6" t="s">
        <v>1261</v>
      </c>
      <c r="B507" s="6" t="n">
        <v>11</v>
      </c>
      <c r="C507" s="6" t="n">
        <v>1</v>
      </c>
      <c r="D507" s="6" t="s">
        <v>42</v>
      </c>
      <c r="E507" s="6" t="s">
        <v>38</v>
      </c>
      <c r="F507" s="6"/>
      <c r="G507" s="6" t="s">
        <v>940</v>
      </c>
      <c r="H507" s="6" t="s">
        <v>38</v>
      </c>
      <c r="I507" s="6" t="s">
        <v>201</v>
      </c>
      <c r="J507" s="7" t="s">
        <v>1266</v>
      </c>
    </row>
    <row r="508" customFormat="false" ht="15" hidden="false" customHeight="false" outlineLevel="0" collapsed="false">
      <c r="A508" s="6" t="s">
        <v>1261</v>
      </c>
      <c r="B508" s="6" t="n">
        <v>12</v>
      </c>
      <c r="C508" s="6" t="n">
        <v>1</v>
      </c>
      <c r="D508" s="6" t="s">
        <v>32</v>
      </c>
      <c r="E508" s="6" t="s">
        <v>49</v>
      </c>
      <c r="F508" s="6"/>
      <c r="G508" s="6" t="s">
        <v>687</v>
      </c>
      <c r="H508" s="6" t="s">
        <v>49</v>
      </c>
      <c r="I508" s="6" t="s">
        <v>51</v>
      </c>
      <c r="J508" s="7" t="s">
        <v>689</v>
      </c>
    </row>
    <row r="509" customFormat="false" ht="15" hidden="false" customHeight="false" outlineLevel="0" collapsed="false">
      <c r="A509" s="6" t="s">
        <v>1261</v>
      </c>
      <c r="B509" s="6" t="n">
        <v>13</v>
      </c>
      <c r="C509" s="6" t="n">
        <v>1</v>
      </c>
      <c r="D509" s="6" t="s">
        <v>32</v>
      </c>
      <c r="E509" s="6" t="s">
        <v>49</v>
      </c>
      <c r="F509" s="6"/>
      <c r="G509" s="6" t="s">
        <v>194</v>
      </c>
      <c r="H509" s="6" t="s">
        <v>49</v>
      </c>
      <c r="I509" s="6" t="s">
        <v>128</v>
      </c>
      <c r="J509" s="7" t="s">
        <v>691</v>
      </c>
    </row>
    <row r="510" customFormat="false" ht="15" hidden="false" customHeight="false" outlineLevel="0" collapsed="false">
      <c r="A510" s="6" t="s">
        <v>1261</v>
      </c>
      <c r="B510" s="6" t="n">
        <v>14</v>
      </c>
      <c r="C510" s="6" t="n">
        <v>1</v>
      </c>
      <c r="D510" s="6" t="s">
        <v>42</v>
      </c>
      <c r="E510" s="6" t="s">
        <v>38</v>
      </c>
      <c r="F510" s="6"/>
      <c r="G510" s="6" t="s">
        <v>711</v>
      </c>
      <c r="H510" s="6" t="s">
        <v>38</v>
      </c>
      <c r="I510" s="6" t="s">
        <v>201</v>
      </c>
      <c r="J510" s="7" t="s">
        <v>1267</v>
      </c>
    </row>
    <row r="511" customFormat="false" ht="15" hidden="false" customHeight="false" outlineLevel="0" collapsed="false">
      <c r="A511" s="6" t="s">
        <v>1261</v>
      </c>
      <c r="B511" s="6" t="n">
        <v>15</v>
      </c>
      <c r="C511" s="6" t="n">
        <v>1</v>
      </c>
      <c r="D511" s="6" t="s">
        <v>42</v>
      </c>
      <c r="E511" s="6" t="s">
        <v>38</v>
      </c>
      <c r="F511" s="6"/>
      <c r="G511" s="6" t="s">
        <v>717</v>
      </c>
      <c r="H511" s="6" t="s">
        <v>38</v>
      </c>
      <c r="I511" s="6" t="s">
        <v>51</v>
      </c>
      <c r="J511" s="7" t="s">
        <v>1268</v>
      </c>
    </row>
    <row r="512" customFormat="false" ht="15" hidden="false" customHeight="false" outlineLevel="0" collapsed="false">
      <c r="A512" s="6" t="s">
        <v>1261</v>
      </c>
      <c r="B512" s="6" t="n">
        <v>16</v>
      </c>
      <c r="C512" s="6" t="n">
        <v>1</v>
      </c>
      <c r="D512" s="6" t="s">
        <v>42</v>
      </c>
      <c r="E512" s="6" t="s">
        <v>38</v>
      </c>
      <c r="F512" s="6"/>
      <c r="G512" s="6" t="s">
        <v>1269</v>
      </c>
      <c r="H512" s="6" t="s">
        <v>38</v>
      </c>
      <c r="I512" s="6" t="s">
        <v>212</v>
      </c>
      <c r="J512" s="7" t="s">
        <v>1270</v>
      </c>
    </row>
    <row r="513" customFormat="false" ht="15" hidden="false" customHeight="false" outlineLevel="0" collapsed="false">
      <c r="A513" s="6" t="s">
        <v>1261</v>
      </c>
      <c r="B513" s="6" t="n">
        <v>17</v>
      </c>
      <c r="C513" s="6" t="n">
        <v>1</v>
      </c>
      <c r="D513" s="6" t="s">
        <v>42</v>
      </c>
      <c r="E513" s="6" t="s">
        <v>38</v>
      </c>
      <c r="F513" s="6"/>
      <c r="G513" s="6" t="s">
        <v>1271</v>
      </c>
      <c r="H513" s="6" t="s">
        <v>38</v>
      </c>
      <c r="I513" s="6" t="s">
        <v>694</v>
      </c>
      <c r="J513" s="7" t="s">
        <v>1272</v>
      </c>
    </row>
    <row r="514" customFormat="false" ht="15" hidden="false" customHeight="false" outlineLevel="0" collapsed="false">
      <c r="A514" s="6" t="s">
        <v>1261</v>
      </c>
      <c r="B514" s="6" t="n">
        <v>18</v>
      </c>
      <c r="C514" s="6" t="n">
        <v>1</v>
      </c>
      <c r="D514" s="6" t="s">
        <v>42</v>
      </c>
      <c r="E514" s="6" t="s">
        <v>38</v>
      </c>
      <c r="F514" s="6"/>
      <c r="G514" s="6" t="s">
        <v>720</v>
      </c>
      <c r="H514" s="6" t="s">
        <v>38</v>
      </c>
      <c r="I514" s="6" t="s">
        <v>40</v>
      </c>
      <c r="J514" s="7" t="s">
        <v>1273</v>
      </c>
    </row>
    <row r="515" customFormat="false" ht="15" hidden="false" customHeight="false" outlineLevel="0" collapsed="false">
      <c r="A515" s="6" t="s">
        <v>1261</v>
      </c>
      <c r="B515" s="6" t="n">
        <v>19</v>
      </c>
      <c r="C515" s="6" t="n">
        <v>1</v>
      </c>
      <c r="D515" s="6" t="s">
        <v>42</v>
      </c>
      <c r="E515" s="6" t="s">
        <v>38</v>
      </c>
      <c r="F515" s="6"/>
      <c r="G515" s="6" t="s">
        <v>734</v>
      </c>
      <c r="H515" s="6" t="s">
        <v>38</v>
      </c>
      <c r="I515" s="6" t="s">
        <v>104</v>
      </c>
      <c r="J515" s="7" t="s">
        <v>1274</v>
      </c>
    </row>
    <row r="516" customFormat="false" ht="15" hidden="false" customHeight="false" outlineLevel="0" collapsed="false">
      <c r="A516" s="6" t="s">
        <v>1261</v>
      </c>
      <c r="B516" s="6" t="n">
        <v>20</v>
      </c>
      <c r="C516" s="6" t="n">
        <v>1</v>
      </c>
      <c r="D516" s="6" t="s">
        <v>42</v>
      </c>
      <c r="E516" s="6" t="s">
        <v>38</v>
      </c>
      <c r="F516" s="6"/>
      <c r="G516" s="6" t="s">
        <v>1275</v>
      </c>
      <c r="H516" s="6" t="s">
        <v>38</v>
      </c>
      <c r="I516" s="6" t="s">
        <v>1276</v>
      </c>
      <c r="J516" s="7" t="s">
        <v>1277</v>
      </c>
    </row>
    <row r="517" customFormat="false" ht="15" hidden="false" customHeight="false" outlineLevel="0" collapsed="false">
      <c r="A517" s="6" t="s">
        <v>1261</v>
      </c>
      <c r="B517" s="6" t="n">
        <v>21</v>
      </c>
      <c r="C517" s="6" t="n">
        <v>1</v>
      </c>
      <c r="D517" s="6" t="s">
        <v>42</v>
      </c>
      <c r="E517" s="6" t="s">
        <v>38</v>
      </c>
      <c r="F517" s="6"/>
      <c r="G517" s="6" t="s">
        <v>127</v>
      </c>
      <c r="H517" s="6" t="s">
        <v>38</v>
      </c>
      <c r="I517" s="6" t="s">
        <v>128</v>
      </c>
      <c r="J517" s="7" t="s">
        <v>916</v>
      </c>
    </row>
    <row r="518" customFormat="false" ht="15" hidden="false" customHeight="false" outlineLevel="0" collapsed="false">
      <c r="A518" s="6" t="s">
        <v>1261</v>
      </c>
      <c r="B518" s="6" t="n">
        <v>22</v>
      </c>
      <c r="C518" s="6" t="n">
        <v>1</v>
      </c>
      <c r="D518" s="6" t="s">
        <v>42</v>
      </c>
      <c r="E518" s="6" t="s">
        <v>38</v>
      </c>
      <c r="F518" s="6"/>
      <c r="G518" s="6" t="s">
        <v>1278</v>
      </c>
      <c r="H518" s="6" t="s">
        <v>38</v>
      </c>
      <c r="I518" s="6" t="s">
        <v>104</v>
      </c>
      <c r="J518" s="7" t="s">
        <v>1279</v>
      </c>
    </row>
    <row r="519" customFormat="false" ht="15" hidden="false" customHeight="false" outlineLevel="0" collapsed="false">
      <c r="A519" s="6" t="s">
        <v>1261</v>
      </c>
      <c r="B519" s="6" t="n">
        <v>23</v>
      </c>
      <c r="C519" s="6" t="n">
        <v>1</v>
      </c>
      <c r="D519" s="6" t="s">
        <v>42</v>
      </c>
      <c r="E519" s="6" t="s">
        <v>38</v>
      </c>
      <c r="F519" s="6"/>
      <c r="G519" s="6" t="s">
        <v>133</v>
      </c>
      <c r="H519" s="6" t="s">
        <v>38</v>
      </c>
      <c r="I519" s="6" t="s">
        <v>40</v>
      </c>
      <c r="J519" s="7" t="s">
        <v>920</v>
      </c>
    </row>
    <row r="520" customFormat="false" ht="15" hidden="false" customHeight="false" outlineLevel="0" collapsed="false">
      <c r="A520" s="6" t="s">
        <v>1261</v>
      </c>
      <c r="B520" s="6" t="n">
        <v>24</v>
      </c>
      <c r="C520" s="6" t="n">
        <v>1</v>
      </c>
      <c r="D520" s="6" t="s">
        <v>42</v>
      </c>
      <c r="E520" s="6" t="s">
        <v>38</v>
      </c>
      <c r="F520" s="6"/>
      <c r="G520" s="6" t="s">
        <v>923</v>
      </c>
      <c r="H520" s="6" t="s">
        <v>38</v>
      </c>
      <c r="I520" s="6" t="s">
        <v>925</v>
      </c>
      <c r="J520" s="7" t="s">
        <v>1280</v>
      </c>
    </row>
    <row r="521" customFormat="false" ht="15" hidden="false" customHeight="false" outlineLevel="0" collapsed="false">
      <c r="A521" s="6" t="s">
        <v>1261</v>
      </c>
      <c r="B521" s="6" t="n">
        <v>25</v>
      </c>
      <c r="C521" s="6" t="n">
        <v>1</v>
      </c>
      <c r="D521" s="6" t="s">
        <v>42</v>
      </c>
      <c r="E521" s="6" t="s">
        <v>38</v>
      </c>
      <c r="F521" s="6"/>
      <c r="G521" s="6" t="s">
        <v>1281</v>
      </c>
      <c r="H521" s="6" t="s">
        <v>38</v>
      </c>
      <c r="I521" s="6" t="s">
        <v>212</v>
      </c>
      <c r="J521" s="7" t="s">
        <v>1282</v>
      </c>
    </row>
    <row r="522" customFormat="false" ht="15" hidden="false" customHeight="false" outlineLevel="0" collapsed="false">
      <c r="A522" s="6" t="s">
        <v>1261</v>
      </c>
      <c r="B522" s="6" t="n">
        <v>4</v>
      </c>
      <c r="C522" s="6" t="n">
        <v>2</v>
      </c>
      <c r="D522" s="6" t="s">
        <v>32</v>
      </c>
      <c r="E522" s="6" t="s">
        <v>49</v>
      </c>
      <c r="F522" s="6"/>
      <c r="G522" s="6" t="s">
        <v>723</v>
      </c>
      <c r="H522" s="6" t="s">
        <v>49</v>
      </c>
      <c r="I522" s="6" t="s">
        <v>104</v>
      </c>
      <c r="J522" s="7" t="s">
        <v>725</v>
      </c>
    </row>
    <row r="523" customFormat="false" ht="15" hidden="false" customHeight="false" outlineLevel="0" collapsed="false">
      <c r="A523" s="6" t="s">
        <v>1261</v>
      </c>
      <c r="B523" s="6" t="n">
        <v>6</v>
      </c>
      <c r="C523" s="6" t="n">
        <v>2</v>
      </c>
      <c r="D523" s="6" t="s">
        <v>42</v>
      </c>
      <c r="E523" s="6" t="s">
        <v>38</v>
      </c>
      <c r="F523" s="6"/>
      <c r="G523" s="6" t="s">
        <v>743</v>
      </c>
      <c r="H523" s="6" t="s">
        <v>38</v>
      </c>
      <c r="I523" s="6" t="s">
        <v>104</v>
      </c>
      <c r="J523" s="7" t="s">
        <v>1283</v>
      </c>
    </row>
    <row r="524" customFormat="false" ht="15" hidden="false" customHeight="false" outlineLevel="0" collapsed="false">
      <c r="A524" s="6" t="s">
        <v>1261</v>
      </c>
      <c r="B524" s="6" t="n">
        <v>7</v>
      </c>
      <c r="C524" s="6" t="n">
        <v>2</v>
      </c>
      <c r="D524" s="6" t="s">
        <v>42</v>
      </c>
      <c r="E524" s="6" t="s">
        <v>38</v>
      </c>
      <c r="F524" s="6"/>
      <c r="G524" s="6" t="s">
        <v>1284</v>
      </c>
      <c r="H524" s="6" t="s">
        <v>38</v>
      </c>
      <c r="I524" s="6" t="s">
        <v>51</v>
      </c>
      <c r="J524" s="7" t="s">
        <v>1285</v>
      </c>
    </row>
    <row r="525" customFormat="false" ht="15" hidden="false" customHeight="false" outlineLevel="0" collapsed="false">
      <c r="A525" s="6" t="s">
        <v>1261</v>
      </c>
      <c r="B525" s="6" t="n">
        <v>8</v>
      </c>
      <c r="C525" s="6" t="n">
        <v>2</v>
      </c>
      <c r="D525" s="6" t="s">
        <v>32</v>
      </c>
      <c r="E525" s="6" t="s">
        <v>49</v>
      </c>
      <c r="F525" s="6"/>
      <c r="G525" s="6" t="s">
        <v>200</v>
      </c>
      <c r="H525" s="6" t="s">
        <v>49</v>
      </c>
      <c r="I525" s="6" t="s">
        <v>201</v>
      </c>
      <c r="J525" s="7" t="s">
        <v>1286</v>
      </c>
    </row>
    <row r="526" customFormat="false" ht="15" hidden="false" customHeight="false" outlineLevel="0" collapsed="false">
      <c r="A526" s="6" t="s">
        <v>1261</v>
      </c>
      <c r="B526" s="6" t="n">
        <v>9</v>
      </c>
      <c r="C526" s="6" t="n">
        <v>2</v>
      </c>
      <c r="D526" s="6" t="s">
        <v>32</v>
      </c>
      <c r="E526" s="6" t="s">
        <v>49</v>
      </c>
      <c r="F526" s="6"/>
      <c r="G526" s="6" t="s">
        <v>252</v>
      </c>
      <c r="H526" s="6" t="s">
        <v>49</v>
      </c>
      <c r="I526" s="6" t="s">
        <v>212</v>
      </c>
      <c r="J526" s="7" t="s">
        <v>1287</v>
      </c>
    </row>
    <row r="527" customFormat="false" ht="15" hidden="false" customHeight="false" outlineLevel="0" collapsed="false">
      <c r="A527" s="6" t="s">
        <v>1261</v>
      </c>
      <c r="B527" s="6" t="n">
        <v>11</v>
      </c>
      <c r="C527" s="6" t="n">
        <v>2</v>
      </c>
      <c r="D527" s="6" t="s">
        <v>42</v>
      </c>
      <c r="E527" s="6" t="s">
        <v>38</v>
      </c>
      <c r="F527" s="6"/>
      <c r="G527" s="6" t="s">
        <v>70</v>
      </c>
      <c r="H527" s="6" t="s">
        <v>38</v>
      </c>
      <c r="I527" s="6" t="s">
        <v>44</v>
      </c>
      <c r="J527" s="7" t="s">
        <v>1288</v>
      </c>
    </row>
    <row r="528" customFormat="false" ht="15" hidden="false" customHeight="false" outlineLevel="0" collapsed="false">
      <c r="A528" s="6" t="s">
        <v>1261</v>
      </c>
      <c r="B528" s="6" t="n">
        <v>12</v>
      </c>
      <c r="C528" s="6" t="n">
        <v>2</v>
      </c>
      <c r="D528" s="6" t="s">
        <v>42</v>
      </c>
      <c r="E528" s="6" t="s">
        <v>38</v>
      </c>
      <c r="F528" s="6"/>
      <c r="G528" s="6" t="s">
        <v>1289</v>
      </c>
      <c r="H528" s="6" t="s">
        <v>38</v>
      </c>
      <c r="I528" s="6" t="s">
        <v>694</v>
      </c>
      <c r="J528" s="7" t="s">
        <v>1290</v>
      </c>
    </row>
    <row r="529" customFormat="false" ht="15" hidden="false" customHeight="false" outlineLevel="0" collapsed="false">
      <c r="A529" s="6" t="s">
        <v>1261</v>
      </c>
      <c r="B529" s="6" t="n">
        <v>13</v>
      </c>
      <c r="C529" s="6" t="n">
        <v>2</v>
      </c>
      <c r="D529" s="6" t="s">
        <v>32</v>
      </c>
      <c r="E529" s="6" t="s">
        <v>33</v>
      </c>
      <c r="F529" s="6"/>
      <c r="G529" s="6" t="s">
        <v>92</v>
      </c>
      <c r="H529" s="6" t="s">
        <v>35</v>
      </c>
      <c r="I529" s="6" t="s">
        <v>93</v>
      </c>
      <c r="J529" s="7" t="s">
        <v>1291</v>
      </c>
    </row>
    <row r="530" customFormat="false" ht="15" hidden="false" customHeight="false" outlineLevel="0" collapsed="false">
      <c r="A530" s="6" t="s">
        <v>1261</v>
      </c>
      <c r="B530" s="6" t="n">
        <v>15</v>
      </c>
      <c r="C530" s="6" t="n">
        <v>2</v>
      </c>
      <c r="D530" s="6" t="s">
        <v>42</v>
      </c>
      <c r="E530" s="6" t="s">
        <v>38</v>
      </c>
      <c r="F530" s="6"/>
      <c r="G530" s="6" t="s">
        <v>962</v>
      </c>
      <c r="H530" s="6" t="s">
        <v>38</v>
      </c>
      <c r="I530" s="6" t="s">
        <v>181</v>
      </c>
      <c r="J530" s="7" t="s">
        <v>1292</v>
      </c>
    </row>
    <row r="531" customFormat="false" ht="15" hidden="false" customHeight="false" outlineLevel="0" collapsed="false">
      <c r="A531" s="6" t="s">
        <v>1261</v>
      </c>
      <c r="B531" s="6" t="n">
        <v>16</v>
      </c>
      <c r="C531" s="6" t="n">
        <v>2</v>
      </c>
      <c r="D531" s="6" t="s">
        <v>42</v>
      </c>
      <c r="E531" s="6" t="s">
        <v>38</v>
      </c>
      <c r="F531" s="6"/>
      <c r="G531" s="6" t="s">
        <v>1293</v>
      </c>
      <c r="H531" s="6" t="s">
        <v>38</v>
      </c>
      <c r="I531" s="6" t="s">
        <v>82</v>
      </c>
      <c r="J531" s="7" t="s">
        <v>1294</v>
      </c>
    </row>
    <row r="532" customFormat="false" ht="15" hidden="false" customHeight="false" outlineLevel="0" collapsed="false">
      <c r="A532" s="6" t="s">
        <v>1261</v>
      </c>
      <c r="B532" s="6" t="n">
        <v>17</v>
      </c>
      <c r="C532" s="6" t="n">
        <v>2</v>
      </c>
      <c r="D532" s="6" t="s">
        <v>32</v>
      </c>
      <c r="E532" s="6" t="s">
        <v>49</v>
      </c>
      <c r="F532" s="6"/>
      <c r="G532" s="6" t="s">
        <v>236</v>
      </c>
      <c r="H532" s="6" t="s">
        <v>49</v>
      </c>
      <c r="I532" s="6" t="s">
        <v>128</v>
      </c>
      <c r="J532" s="7" t="s">
        <v>751</v>
      </c>
    </row>
    <row r="533" customFormat="false" ht="15" hidden="false" customHeight="false" outlineLevel="0" collapsed="false">
      <c r="A533" s="6" t="s">
        <v>1261</v>
      </c>
      <c r="B533" s="6" t="n">
        <v>18</v>
      </c>
      <c r="C533" s="6" t="n">
        <v>2</v>
      </c>
      <c r="D533" s="6" t="s">
        <v>32</v>
      </c>
      <c r="E533" s="6" t="s">
        <v>273</v>
      </c>
      <c r="F533" s="6"/>
      <c r="G533" s="6" t="s">
        <v>746</v>
      </c>
      <c r="H533" s="6" t="s">
        <v>747</v>
      </c>
      <c r="I533" s="6" t="s">
        <v>748</v>
      </c>
      <c r="J533" s="7" t="s">
        <v>749</v>
      </c>
    </row>
    <row r="534" customFormat="false" ht="15" hidden="false" customHeight="false" outlineLevel="0" collapsed="false">
      <c r="A534" s="6" t="s">
        <v>1261</v>
      </c>
      <c r="B534" s="6" t="n">
        <v>19</v>
      </c>
      <c r="C534" s="6" t="n">
        <v>2</v>
      </c>
      <c r="D534" s="6" t="s">
        <v>42</v>
      </c>
      <c r="E534" s="6" t="s">
        <v>38</v>
      </c>
      <c r="F534" s="6"/>
      <c r="G534" s="6" t="s">
        <v>1295</v>
      </c>
      <c r="H534" s="6" t="s">
        <v>38</v>
      </c>
      <c r="I534" s="6"/>
      <c r="J534" s="7" t="s">
        <v>1296</v>
      </c>
    </row>
    <row r="535" customFormat="false" ht="15" hidden="false" customHeight="false" outlineLevel="0" collapsed="false">
      <c r="A535" s="6" t="s">
        <v>1261</v>
      </c>
      <c r="B535" s="6" t="n">
        <v>20</v>
      </c>
      <c r="C535" s="6" t="n">
        <v>2</v>
      </c>
      <c r="D535" s="6" t="s">
        <v>42</v>
      </c>
      <c r="E535" s="6" t="s">
        <v>38</v>
      </c>
      <c r="F535" s="6"/>
      <c r="G535" s="6" t="s">
        <v>1297</v>
      </c>
      <c r="H535" s="6" t="s">
        <v>38</v>
      </c>
      <c r="I535" s="6"/>
      <c r="J535" s="7" t="s">
        <v>1298</v>
      </c>
    </row>
    <row r="536" customFormat="false" ht="15" hidden="false" customHeight="false" outlineLevel="0" collapsed="false">
      <c r="A536" s="6" t="s">
        <v>1261</v>
      </c>
      <c r="B536" s="6" t="n">
        <v>21</v>
      </c>
      <c r="C536" s="6" t="n">
        <v>2</v>
      </c>
      <c r="D536" s="6" t="s">
        <v>42</v>
      </c>
      <c r="E536" s="6" t="s">
        <v>38</v>
      </c>
      <c r="F536" s="6"/>
      <c r="G536" s="6" t="s">
        <v>74</v>
      </c>
      <c r="H536" s="6" t="s">
        <v>38</v>
      </c>
      <c r="I536" s="6" t="s">
        <v>47</v>
      </c>
      <c r="J536" s="7" t="s">
        <v>1299</v>
      </c>
    </row>
    <row r="537" customFormat="false" ht="15" hidden="false" customHeight="false" outlineLevel="0" collapsed="false">
      <c r="A537" s="6" t="s">
        <v>1261</v>
      </c>
      <c r="B537" s="6" t="n">
        <v>22</v>
      </c>
      <c r="C537" s="6" t="n">
        <v>2</v>
      </c>
      <c r="D537" s="6" t="s">
        <v>42</v>
      </c>
      <c r="E537" s="6" t="s">
        <v>38</v>
      </c>
      <c r="F537" s="6"/>
      <c r="G537" s="6" t="s">
        <v>1300</v>
      </c>
      <c r="H537" s="6" t="s">
        <v>38</v>
      </c>
      <c r="I537" s="6" t="s">
        <v>104</v>
      </c>
      <c r="J537" s="7" t="s">
        <v>1301</v>
      </c>
    </row>
    <row r="538" customFormat="false" ht="15" hidden="false" customHeight="false" outlineLevel="0" collapsed="false">
      <c r="A538" s="6" t="s">
        <v>1261</v>
      </c>
      <c r="B538" s="6" t="n">
        <v>23</v>
      </c>
      <c r="C538" s="6" t="n">
        <v>2</v>
      </c>
      <c r="D538" s="6" t="s">
        <v>42</v>
      </c>
      <c r="E538" s="6" t="s">
        <v>38</v>
      </c>
      <c r="F538" s="6"/>
      <c r="G538" s="6" t="s">
        <v>1302</v>
      </c>
      <c r="H538" s="6" t="s">
        <v>38</v>
      </c>
      <c r="I538" s="6" t="s">
        <v>212</v>
      </c>
      <c r="J538" s="7" t="s">
        <v>1303</v>
      </c>
    </row>
    <row r="539" customFormat="false" ht="15" hidden="false" customHeight="false" outlineLevel="0" collapsed="false">
      <c r="A539" s="6" t="s">
        <v>1261</v>
      </c>
      <c r="B539" s="6" t="n">
        <v>24</v>
      </c>
      <c r="C539" s="6" t="n">
        <v>2</v>
      </c>
      <c r="D539" s="6" t="s">
        <v>42</v>
      </c>
      <c r="E539" s="6" t="s">
        <v>38</v>
      </c>
      <c r="F539" s="6"/>
      <c r="G539" s="6" t="s">
        <v>1304</v>
      </c>
      <c r="H539" s="6" t="s">
        <v>38</v>
      </c>
      <c r="I539" s="6" t="s">
        <v>61</v>
      </c>
      <c r="J539" s="7" t="s">
        <v>1305</v>
      </c>
    </row>
    <row r="540" customFormat="false" ht="15" hidden="false" customHeight="false" outlineLevel="0" collapsed="false">
      <c r="A540" s="6" t="s">
        <v>1261</v>
      </c>
      <c r="B540" s="6" t="n">
        <v>25</v>
      </c>
      <c r="C540" s="6" t="n">
        <v>2</v>
      </c>
      <c r="D540" s="6" t="s">
        <v>42</v>
      </c>
      <c r="E540" s="6" t="s">
        <v>38</v>
      </c>
      <c r="F540" s="6"/>
      <c r="G540" s="6" t="s">
        <v>1306</v>
      </c>
      <c r="H540" s="6" t="s">
        <v>38</v>
      </c>
      <c r="I540" s="6" t="s">
        <v>87</v>
      </c>
      <c r="J540" s="7" t="s">
        <v>1307</v>
      </c>
    </row>
    <row r="541" customFormat="false" ht="15" hidden="false" customHeight="false" outlineLevel="0" collapsed="false">
      <c r="A541" s="6" t="s">
        <v>1261</v>
      </c>
      <c r="B541" s="6" t="n">
        <v>26</v>
      </c>
      <c r="C541" s="6" t="n">
        <v>2</v>
      </c>
      <c r="D541" s="6" t="s">
        <v>42</v>
      </c>
      <c r="E541" s="6" t="s">
        <v>38</v>
      </c>
      <c r="F541" s="6"/>
      <c r="G541" s="6" t="s">
        <v>1308</v>
      </c>
      <c r="H541" s="6" t="s">
        <v>38</v>
      </c>
      <c r="I541" s="6" t="s">
        <v>82</v>
      </c>
      <c r="J541" s="7" t="s">
        <v>1309</v>
      </c>
    </row>
    <row r="542" customFormat="false" ht="15" hidden="false" customHeight="false" outlineLevel="0" collapsed="false">
      <c r="A542" s="6" t="s">
        <v>1261</v>
      </c>
      <c r="B542" s="6" t="n">
        <v>27</v>
      </c>
      <c r="C542" s="6" t="n">
        <v>2</v>
      </c>
      <c r="D542" s="6" t="s">
        <v>42</v>
      </c>
      <c r="E542" s="6" t="s">
        <v>55</v>
      </c>
      <c r="F542" s="6"/>
      <c r="G542" s="6" t="s">
        <v>56</v>
      </c>
      <c r="H542" s="6" t="s">
        <v>57</v>
      </c>
      <c r="I542" s="6" t="s">
        <v>58</v>
      </c>
      <c r="J542" s="7" t="s">
        <v>1310</v>
      </c>
    </row>
    <row r="543" customFormat="false" ht="15" hidden="false" customHeight="false" outlineLevel="0" collapsed="false">
      <c r="A543" s="6" t="s">
        <v>1261</v>
      </c>
      <c r="B543" s="6" t="n">
        <v>28</v>
      </c>
      <c r="C543" s="6" t="n">
        <v>2</v>
      </c>
      <c r="D543" s="6" t="s">
        <v>42</v>
      </c>
      <c r="E543" s="6" t="s">
        <v>38</v>
      </c>
      <c r="F543" s="6"/>
      <c r="G543" s="6" t="s">
        <v>1311</v>
      </c>
      <c r="H543" s="6" t="s">
        <v>38</v>
      </c>
      <c r="I543" s="6" t="s">
        <v>181</v>
      </c>
      <c r="J543" s="7" t="s">
        <v>1312</v>
      </c>
    </row>
    <row r="544" customFormat="false" ht="15" hidden="false" customHeight="false" outlineLevel="0" collapsed="false">
      <c r="A544" s="6" t="s">
        <v>1313</v>
      </c>
      <c r="B544" s="6" t="n">
        <v>3</v>
      </c>
      <c r="C544" s="6" t="n">
        <v>1</v>
      </c>
      <c r="D544" s="6" t="s">
        <v>32</v>
      </c>
      <c r="E544" s="6" t="s">
        <v>38</v>
      </c>
      <c r="F544" s="6"/>
      <c r="G544" s="6" t="s">
        <v>1314</v>
      </c>
      <c r="H544" s="6" t="s">
        <v>38</v>
      </c>
      <c r="I544" s="6" t="s">
        <v>610</v>
      </c>
      <c r="J544" s="7" t="s">
        <v>1315</v>
      </c>
    </row>
    <row r="545" customFormat="false" ht="15" hidden="false" customHeight="false" outlineLevel="0" collapsed="false">
      <c r="A545" s="6" t="s">
        <v>1313</v>
      </c>
      <c r="B545" s="6" t="n">
        <v>4</v>
      </c>
      <c r="C545" s="6" t="n">
        <v>1</v>
      </c>
      <c r="D545" s="6" t="s">
        <v>32</v>
      </c>
      <c r="E545" s="6" t="s">
        <v>38</v>
      </c>
      <c r="F545" s="6"/>
      <c r="G545" s="6" t="s">
        <v>443</v>
      </c>
      <c r="H545" s="6" t="s">
        <v>38</v>
      </c>
      <c r="I545" s="6" t="s">
        <v>101</v>
      </c>
      <c r="J545" s="7" t="s">
        <v>1316</v>
      </c>
    </row>
    <row r="546" customFormat="false" ht="15" hidden="false" customHeight="false" outlineLevel="0" collapsed="false">
      <c r="A546" s="6" t="s">
        <v>1313</v>
      </c>
      <c r="B546" s="6" t="n">
        <v>5</v>
      </c>
      <c r="C546" s="6" t="n">
        <v>1</v>
      </c>
      <c r="D546" s="6" t="s">
        <v>42</v>
      </c>
      <c r="E546" s="6" t="s">
        <v>38</v>
      </c>
      <c r="F546" s="6"/>
      <c r="G546" s="6" t="s">
        <v>991</v>
      </c>
      <c r="H546" s="6" t="s">
        <v>38</v>
      </c>
      <c r="I546" s="6" t="s">
        <v>87</v>
      </c>
      <c r="J546" s="7" t="s">
        <v>1317</v>
      </c>
    </row>
    <row r="547" customFormat="false" ht="15" hidden="false" customHeight="false" outlineLevel="0" collapsed="false">
      <c r="A547" s="6" t="s">
        <v>1313</v>
      </c>
      <c r="B547" s="6" t="n">
        <v>6</v>
      </c>
      <c r="C547" s="6" t="n">
        <v>1</v>
      </c>
      <c r="D547" s="6" t="s">
        <v>42</v>
      </c>
      <c r="E547" s="6" t="s">
        <v>38</v>
      </c>
      <c r="F547" s="6"/>
      <c r="G547" s="6" t="s">
        <v>1123</v>
      </c>
      <c r="H547" s="6" t="s">
        <v>38</v>
      </c>
      <c r="I547" s="6" t="s">
        <v>64</v>
      </c>
      <c r="J547" s="7" t="s">
        <v>1318</v>
      </c>
    </row>
    <row r="548" customFormat="false" ht="15" hidden="false" customHeight="false" outlineLevel="0" collapsed="false">
      <c r="A548" s="6" t="s">
        <v>1313</v>
      </c>
      <c r="B548" s="6" t="n">
        <v>7</v>
      </c>
      <c r="C548" s="6" t="n">
        <v>1</v>
      </c>
      <c r="D548" s="6" t="s">
        <v>32</v>
      </c>
      <c r="E548" s="6" t="s">
        <v>273</v>
      </c>
      <c r="F548" s="6"/>
      <c r="G548" s="6" t="s">
        <v>999</v>
      </c>
      <c r="H548" s="6" t="s">
        <v>275</v>
      </c>
      <c r="I548" s="6" t="s">
        <v>181</v>
      </c>
      <c r="J548" s="7" t="s">
        <v>1319</v>
      </c>
    </row>
    <row r="549" customFormat="false" ht="15" hidden="false" customHeight="false" outlineLevel="0" collapsed="false">
      <c r="A549" s="6" t="s">
        <v>1313</v>
      </c>
      <c r="B549" s="6" t="n">
        <v>8</v>
      </c>
      <c r="C549" s="6" t="n">
        <v>1</v>
      </c>
      <c r="D549" s="6" t="s">
        <v>32</v>
      </c>
      <c r="E549" s="6" t="s">
        <v>273</v>
      </c>
      <c r="F549" s="6"/>
      <c r="G549" s="6" t="s">
        <v>1119</v>
      </c>
      <c r="H549" s="6" t="s">
        <v>275</v>
      </c>
      <c r="I549" s="6" t="s">
        <v>128</v>
      </c>
      <c r="J549" s="7" t="s">
        <v>1320</v>
      </c>
    </row>
    <row r="550" customFormat="false" ht="15" hidden="false" customHeight="false" outlineLevel="0" collapsed="false">
      <c r="A550" s="6" t="s">
        <v>1313</v>
      </c>
      <c r="B550" s="6" t="n">
        <v>10</v>
      </c>
      <c r="C550" s="6" t="n">
        <v>1</v>
      </c>
      <c r="D550" s="6" t="s">
        <v>42</v>
      </c>
      <c r="E550" s="6" t="s">
        <v>38</v>
      </c>
      <c r="F550" s="6"/>
      <c r="G550" s="6" t="s">
        <v>379</v>
      </c>
      <c r="H550" s="6" t="s">
        <v>38</v>
      </c>
      <c r="I550" s="6" t="s">
        <v>51</v>
      </c>
      <c r="J550" s="7" t="s">
        <v>1321</v>
      </c>
    </row>
    <row r="551" customFormat="false" ht="15" hidden="false" customHeight="false" outlineLevel="0" collapsed="false">
      <c r="A551" s="6" t="s">
        <v>1313</v>
      </c>
      <c r="B551" s="6" t="n">
        <v>11</v>
      </c>
      <c r="C551" s="6" t="n">
        <v>1</v>
      </c>
      <c r="D551" s="6" t="s">
        <v>42</v>
      </c>
      <c r="E551" s="6" t="s">
        <v>38</v>
      </c>
      <c r="F551" s="6"/>
      <c r="G551" s="6" t="s">
        <v>376</v>
      </c>
      <c r="H551" s="6" t="s">
        <v>38</v>
      </c>
      <c r="I551" s="6" t="s">
        <v>64</v>
      </c>
      <c r="J551" s="7" t="s">
        <v>1322</v>
      </c>
    </row>
    <row r="552" customFormat="false" ht="15" hidden="false" customHeight="false" outlineLevel="0" collapsed="false">
      <c r="A552" s="6" t="s">
        <v>1313</v>
      </c>
      <c r="B552" s="6" t="n">
        <v>12</v>
      </c>
      <c r="C552" s="6" t="n">
        <v>1</v>
      </c>
      <c r="D552" s="6" t="s">
        <v>32</v>
      </c>
      <c r="E552" s="6" t="s">
        <v>273</v>
      </c>
      <c r="F552" s="6"/>
      <c r="G552" s="6" t="s">
        <v>419</v>
      </c>
      <c r="H552" s="6" t="s">
        <v>420</v>
      </c>
      <c r="I552" s="6" t="s">
        <v>181</v>
      </c>
      <c r="J552" s="7" t="s">
        <v>421</v>
      </c>
    </row>
    <row r="553" customFormat="false" ht="15" hidden="false" customHeight="false" outlineLevel="0" collapsed="false">
      <c r="A553" s="6" t="s">
        <v>1313</v>
      </c>
      <c r="B553" s="6" t="n">
        <v>13</v>
      </c>
      <c r="C553" s="6" t="n">
        <v>1</v>
      </c>
      <c r="D553" s="6" t="s">
        <v>32</v>
      </c>
      <c r="E553" s="6" t="s">
        <v>273</v>
      </c>
      <c r="F553" s="6"/>
      <c r="G553" s="6" t="s">
        <v>1323</v>
      </c>
      <c r="H553" s="6" t="s">
        <v>275</v>
      </c>
      <c r="I553" s="6" t="s">
        <v>128</v>
      </c>
      <c r="J553" s="7" t="s">
        <v>1324</v>
      </c>
    </row>
    <row r="554" customFormat="false" ht="15" hidden="false" customHeight="false" outlineLevel="0" collapsed="false">
      <c r="A554" s="6" t="s">
        <v>1313</v>
      </c>
      <c r="B554" s="6" t="n">
        <v>14</v>
      </c>
      <c r="C554" s="6" t="n">
        <v>1</v>
      </c>
      <c r="D554" s="6" t="s">
        <v>42</v>
      </c>
      <c r="E554" s="6" t="s">
        <v>38</v>
      </c>
      <c r="F554" s="6"/>
      <c r="G554" s="6" t="s">
        <v>1088</v>
      </c>
      <c r="H554" s="6" t="s">
        <v>38</v>
      </c>
      <c r="I554" s="6" t="s">
        <v>51</v>
      </c>
      <c r="J554" s="7" t="s">
        <v>1325</v>
      </c>
    </row>
    <row r="555" customFormat="false" ht="15" hidden="false" customHeight="false" outlineLevel="0" collapsed="false">
      <c r="A555" s="6" t="s">
        <v>1313</v>
      </c>
      <c r="B555" s="6" t="n">
        <v>15</v>
      </c>
      <c r="C555" s="6" t="n">
        <v>1</v>
      </c>
      <c r="D555" s="6" t="s">
        <v>42</v>
      </c>
      <c r="E555" s="6" t="s">
        <v>38</v>
      </c>
      <c r="F555" s="6"/>
      <c r="G555" s="6" t="s">
        <v>1326</v>
      </c>
      <c r="H555" s="6" t="s">
        <v>38</v>
      </c>
      <c r="I555" s="6" t="s">
        <v>51</v>
      </c>
      <c r="J555" s="7" t="s">
        <v>1327</v>
      </c>
    </row>
    <row r="556" customFormat="false" ht="15" hidden="false" customHeight="false" outlineLevel="0" collapsed="false">
      <c r="A556" s="6" t="s">
        <v>1313</v>
      </c>
      <c r="B556" s="6" t="n">
        <v>16</v>
      </c>
      <c r="C556" s="6" t="n">
        <v>1</v>
      </c>
      <c r="D556" s="6" t="s">
        <v>42</v>
      </c>
      <c r="E556" s="6" t="s">
        <v>38</v>
      </c>
      <c r="F556" s="6"/>
      <c r="G556" s="6" t="s">
        <v>1245</v>
      </c>
      <c r="H556" s="6" t="s">
        <v>38</v>
      </c>
      <c r="I556" s="6" t="s">
        <v>407</v>
      </c>
      <c r="J556" s="7" t="s">
        <v>1328</v>
      </c>
    </row>
    <row r="557" customFormat="false" ht="15" hidden="false" customHeight="false" outlineLevel="0" collapsed="false">
      <c r="A557" s="6" t="s">
        <v>1313</v>
      </c>
      <c r="B557" s="6" t="n">
        <v>17</v>
      </c>
      <c r="C557" s="6" t="n">
        <v>1</v>
      </c>
      <c r="D557" s="6" t="s">
        <v>42</v>
      </c>
      <c r="E557" s="6" t="s">
        <v>38</v>
      </c>
      <c r="F557" s="6"/>
      <c r="G557" s="6" t="s">
        <v>1329</v>
      </c>
      <c r="H557" s="6" t="s">
        <v>38</v>
      </c>
      <c r="I557" s="6" t="s">
        <v>64</v>
      </c>
      <c r="J557" s="7" t="s">
        <v>1330</v>
      </c>
    </row>
    <row r="558" customFormat="false" ht="15" hidden="false" customHeight="false" outlineLevel="0" collapsed="false">
      <c r="A558" s="6" t="s">
        <v>1313</v>
      </c>
      <c r="B558" s="6" t="n">
        <v>18</v>
      </c>
      <c r="C558" s="6" t="n">
        <v>1</v>
      </c>
      <c r="D558" s="6" t="s">
        <v>42</v>
      </c>
      <c r="E558" s="6" t="s">
        <v>38</v>
      </c>
      <c r="F558" s="6"/>
      <c r="G558" s="6" t="s">
        <v>301</v>
      </c>
      <c r="H558" s="6" t="s">
        <v>38</v>
      </c>
      <c r="I558" s="6" t="s">
        <v>64</v>
      </c>
      <c r="J558" s="7" t="s">
        <v>1331</v>
      </c>
    </row>
    <row r="559" customFormat="false" ht="15" hidden="false" customHeight="false" outlineLevel="0" collapsed="false">
      <c r="A559" s="6" t="s">
        <v>1313</v>
      </c>
      <c r="B559" s="6" t="n">
        <v>19</v>
      </c>
      <c r="C559" s="6" t="n">
        <v>1</v>
      </c>
      <c r="D559" s="6" t="s">
        <v>42</v>
      </c>
      <c r="E559" s="6" t="s">
        <v>38</v>
      </c>
      <c r="F559" s="6"/>
      <c r="G559" s="6" t="s">
        <v>1332</v>
      </c>
      <c r="H559" s="6" t="s">
        <v>38</v>
      </c>
      <c r="I559" s="6" t="s">
        <v>51</v>
      </c>
      <c r="J559" s="7" t="s">
        <v>1333</v>
      </c>
    </row>
    <row r="560" customFormat="false" ht="15" hidden="false" customHeight="false" outlineLevel="0" collapsed="false">
      <c r="A560" s="6" t="s">
        <v>1313</v>
      </c>
      <c r="B560" s="6" t="n">
        <v>20</v>
      </c>
      <c r="C560" s="6" t="n">
        <v>1</v>
      </c>
      <c r="D560" s="6" t="s">
        <v>42</v>
      </c>
      <c r="E560" s="6" t="s">
        <v>38</v>
      </c>
      <c r="F560" s="6"/>
      <c r="G560" s="6" t="s">
        <v>1334</v>
      </c>
      <c r="H560" s="6" t="s">
        <v>38</v>
      </c>
      <c r="I560" s="6" t="s">
        <v>51</v>
      </c>
      <c r="J560" s="7" t="s">
        <v>1335</v>
      </c>
    </row>
    <row r="561" customFormat="false" ht="15" hidden="false" customHeight="false" outlineLevel="0" collapsed="false">
      <c r="A561" s="6" t="s">
        <v>1313</v>
      </c>
      <c r="B561" s="6" t="n">
        <v>21</v>
      </c>
      <c r="C561" s="6" t="n">
        <v>1</v>
      </c>
      <c r="D561" s="6" t="s">
        <v>42</v>
      </c>
      <c r="E561" s="6" t="s">
        <v>38</v>
      </c>
      <c r="F561" s="6"/>
      <c r="G561" s="6" t="s">
        <v>288</v>
      </c>
      <c r="H561" s="6" t="s">
        <v>38</v>
      </c>
      <c r="I561" s="6" t="s">
        <v>289</v>
      </c>
      <c r="J561" s="7" t="s">
        <v>1336</v>
      </c>
    </row>
    <row r="562" customFormat="false" ht="15" hidden="false" customHeight="false" outlineLevel="0" collapsed="false">
      <c r="A562" s="6" t="s">
        <v>1313</v>
      </c>
      <c r="B562" s="6" t="n">
        <v>22</v>
      </c>
      <c r="C562" s="6" t="n">
        <v>1</v>
      </c>
      <c r="D562" s="6" t="s">
        <v>42</v>
      </c>
      <c r="E562" s="6" t="s">
        <v>38</v>
      </c>
      <c r="F562" s="6"/>
      <c r="G562" s="6" t="s">
        <v>1337</v>
      </c>
      <c r="H562" s="6" t="s">
        <v>38</v>
      </c>
      <c r="I562" s="6" t="s">
        <v>289</v>
      </c>
      <c r="J562" s="7" t="s">
        <v>1338</v>
      </c>
    </row>
    <row r="563" customFormat="false" ht="15" hidden="false" customHeight="false" outlineLevel="0" collapsed="false">
      <c r="A563" s="6" t="s">
        <v>1313</v>
      </c>
      <c r="B563" s="6" t="n">
        <v>23</v>
      </c>
      <c r="C563" s="6" t="n">
        <v>1</v>
      </c>
      <c r="D563" s="6" t="s">
        <v>42</v>
      </c>
      <c r="E563" s="6" t="s">
        <v>38</v>
      </c>
      <c r="F563" s="6"/>
      <c r="G563" s="6" t="s">
        <v>1339</v>
      </c>
      <c r="H563" s="6" t="s">
        <v>38</v>
      </c>
      <c r="I563" s="6" t="s">
        <v>64</v>
      </c>
      <c r="J563" s="7" t="s">
        <v>1340</v>
      </c>
    </row>
    <row r="564" customFormat="false" ht="15" hidden="false" customHeight="false" outlineLevel="0" collapsed="false">
      <c r="A564" s="6" t="s">
        <v>1313</v>
      </c>
      <c r="B564" s="6" t="n">
        <v>24</v>
      </c>
      <c r="C564" s="6" t="n">
        <v>1</v>
      </c>
      <c r="D564" s="6" t="s">
        <v>42</v>
      </c>
      <c r="E564" s="6" t="s">
        <v>38</v>
      </c>
      <c r="F564" s="6"/>
      <c r="G564" s="6" t="s">
        <v>1341</v>
      </c>
      <c r="H564" s="6" t="s">
        <v>38</v>
      </c>
      <c r="I564" s="6" t="s">
        <v>87</v>
      </c>
      <c r="J564" s="7" t="s">
        <v>1342</v>
      </c>
    </row>
    <row r="565" customFormat="false" ht="15" hidden="false" customHeight="false" outlineLevel="0" collapsed="false">
      <c r="A565" s="6" t="s">
        <v>1313</v>
      </c>
      <c r="B565" s="6" t="n">
        <v>25</v>
      </c>
      <c r="C565" s="6" t="n">
        <v>1</v>
      </c>
      <c r="D565" s="6" t="s">
        <v>42</v>
      </c>
      <c r="E565" s="6" t="s">
        <v>38</v>
      </c>
      <c r="F565" s="6"/>
      <c r="G565" s="6" t="s">
        <v>1202</v>
      </c>
      <c r="H565" s="6" t="s">
        <v>38</v>
      </c>
      <c r="I565" s="6" t="s">
        <v>82</v>
      </c>
      <c r="J565" s="7" t="s">
        <v>1343</v>
      </c>
    </row>
    <row r="566" customFormat="false" ht="15" hidden="false" customHeight="false" outlineLevel="0" collapsed="false">
      <c r="A566" s="6" t="s">
        <v>1313</v>
      </c>
      <c r="B566" s="6" t="n">
        <v>4</v>
      </c>
      <c r="C566" s="6" t="n">
        <v>2</v>
      </c>
      <c r="D566" s="6" t="s">
        <v>32</v>
      </c>
      <c r="E566" s="6" t="s">
        <v>273</v>
      </c>
      <c r="F566" s="6"/>
      <c r="G566" s="6" t="s">
        <v>1344</v>
      </c>
      <c r="H566" s="6" t="s">
        <v>275</v>
      </c>
      <c r="I566" s="6" t="s">
        <v>128</v>
      </c>
      <c r="J566" s="7" t="s">
        <v>1345</v>
      </c>
    </row>
    <row r="567" customFormat="false" ht="15" hidden="false" customHeight="false" outlineLevel="0" collapsed="false">
      <c r="A567" s="6" t="s">
        <v>1313</v>
      </c>
      <c r="B567" s="6" t="n">
        <v>6</v>
      </c>
      <c r="C567" s="6" t="n">
        <v>2</v>
      </c>
      <c r="D567" s="6" t="s">
        <v>42</v>
      </c>
      <c r="E567" s="6" t="s">
        <v>38</v>
      </c>
      <c r="F567" s="6"/>
      <c r="G567" s="6" t="s">
        <v>1346</v>
      </c>
      <c r="H567" s="6" t="s">
        <v>38</v>
      </c>
      <c r="I567" s="6" t="s">
        <v>87</v>
      </c>
      <c r="J567" s="7" t="s">
        <v>1347</v>
      </c>
    </row>
    <row r="568" customFormat="false" ht="15" hidden="false" customHeight="false" outlineLevel="0" collapsed="false">
      <c r="A568" s="6" t="s">
        <v>1313</v>
      </c>
      <c r="B568" s="6" t="n">
        <v>8</v>
      </c>
      <c r="C568" s="6" t="n">
        <v>2</v>
      </c>
      <c r="D568" s="6" t="s">
        <v>32</v>
      </c>
      <c r="E568" s="6" t="s">
        <v>38</v>
      </c>
      <c r="F568" s="6"/>
      <c r="G568" s="6" t="s">
        <v>1348</v>
      </c>
      <c r="H568" s="6" t="s">
        <v>38</v>
      </c>
      <c r="I568" s="6" t="s">
        <v>1349</v>
      </c>
      <c r="J568" s="7" t="s">
        <v>1350</v>
      </c>
    </row>
    <row r="569" customFormat="false" ht="15" hidden="false" customHeight="false" outlineLevel="0" collapsed="false">
      <c r="A569" s="6" t="s">
        <v>1313</v>
      </c>
      <c r="B569" s="6" t="n">
        <v>9</v>
      </c>
      <c r="C569" s="6" t="n">
        <v>2</v>
      </c>
      <c r="D569" s="6" t="s">
        <v>32</v>
      </c>
      <c r="E569" s="6" t="s">
        <v>38</v>
      </c>
      <c r="F569" s="6"/>
      <c r="G569" s="6" t="s">
        <v>1351</v>
      </c>
      <c r="H569" s="6" t="s">
        <v>38</v>
      </c>
      <c r="I569" s="6" t="s">
        <v>605</v>
      </c>
      <c r="J569" s="7" t="s">
        <v>1352</v>
      </c>
    </row>
    <row r="570" customFormat="false" ht="15" hidden="false" customHeight="false" outlineLevel="0" collapsed="false">
      <c r="A570" s="6" t="s">
        <v>1313</v>
      </c>
      <c r="B570" s="6" t="n">
        <v>11</v>
      </c>
      <c r="C570" s="6" t="n">
        <v>2</v>
      </c>
      <c r="D570" s="6" t="s">
        <v>42</v>
      </c>
      <c r="E570" s="6" t="s">
        <v>38</v>
      </c>
      <c r="F570" s="6"/>
      <c r="G570" s="6" t="s">
        <v>1353</v>
      </c>
      <c r="H570" s="6" t="s">
        <v>38</v>
      </c>
      <c r="I570" s="6" t="s">
        <v>319</v>
      </c>
      <c r="J570" s="7" t="s">
        <v>1354</v>
      </c>
    </row>
    <row r="571" customFormat="false" ht="15" hidden="false" customHeight="false" outlineLevel="0" collapsed="false">
      <c r="A571" s="6" t="s">
        <v>1313</v>
      </c>
      <c r="B571" s="6" t="n">
        <v>12</v>
      </c>
      <c r="C571" s="6" t="n">
        <v>2</v>
      </c>
      <c r="D571" s="6" t="s">
        <v>42</v>
      </c>
      <c r="E571" s="6" t="s">
        <v>38</v>
      </c>
      <c r="F571" s="6"/>
      <c r="G571" s="6" t="s">
        <v>1355</v>
      </c>
      <c r="H571" s="6" t="s">
        <v>38</v>
      </c>
      <c r="I571" s="6" t="s">
        <v>44</v>
      </c>
      <c r="J571" s="7" t="s">
        <v>1356</v>
      </c>
    </row>
    <row r="572" customFormat="false" ht="15" hidden="false" customHeight="false" outlineLevel="0" collapsed="false">
      <c r="A572" s="6" t="s">
        <v>1313</v>
      </c>
      <c r="B572" s="6" t="n">
        <v>13</v>
      </c>
      <c r="C572" s="6" t="n">
        <v>2</v>
      </c>
      <c r="D572" s="6" t="s">
        <v>32</v>
      </c>
      <c r="E572" s="6" t="s">
        <v>38</v>
      </c>
      <c r="F572" s="6"/>
      <c r="G572" s="6" t="s">
        <v>1357</v>
      </c>
      <c r="H572" s="6" t="s">
        <v>38</v>
      </c>
      <c r="I572" s="6" t="s">
        <v>308</v>
      </c>
      <c r="J572" s="7" t="s">
        <v>1358</v>
      </c>
    </row>
    <row r="573" customFormat="false" ht="15" hidden="false" customHeight="false" outlineLevel="0" collapsed="false">
      <c r="A573" s="6" t="s">
        <v>1313</v>
      </c>
      <c r="B573" s="6" t="n">
        <v>15</v>
      </c>
      <c r="C573" s="6" t="n">
        <v>2</v>
      </c>
      <c r="D573" s="6" t="s">
        <v>42</v>
      </c>
      <c r="E573" s="6" t="s">
        <v>38</v>
      </c>
      <c r="F573" s="6"/>
      <c r="G573" s="6" t="s">
        <v>1359</v>
      </c>
      <c r="H573" s="6" t="s">
        <v>38</v>
      </c>
      <c r="I573" s="6" t="s">
        <v>82</v>
      </c>
      <c r="J573" s="7" t="s">
        <v>1360</v>
      </c>
    </row>
    <row r="574" customFormat="false" ht="15" hidden="false" customHeight="false" outlineLevel="0" collapsed="false">
      <c r="A574" s="6" t="s">
        <v>1313</v>
      </c>
      <c r="B574" s="6" t="n">
        <v>18</v>
      </c>
      <c r="C574" s="6" t="n">
        <v>2</v>
      </c>
      <c r="D574" s="6" t="s">
        <v>32</v>
      </c>
      <c r="E574" s="6" t="s">
        <v>38</v>
      </c>
      <c r="F574" s="6"/>
      <c r="G574" s="6" t="s">
        <v>1361</v>
      </c>
      <c r="H574" s="6" t="s">
        <v>38</v>
      </c>
      <c r="I574" s="6" t="s">
        <v>610</v>
      </c>
      <c r="J574" s="7" t="s">
        <v>1362</v>
      </c>
    </row>
    <row r="575" customFormat="false" ht="15" hidden="false" customHeight="false" outlineLevel="0" collapsed="false">
      <c r="A575" s="6" t="s">
        <v>1313</v>
      </c>
      <c r="B575" s="6" t="n">
        <v>19</v>
      </c>
      <c r="C575" s="6" t="n">
        <v>2</v>
      </c>
      <c r="D575" s="6" t="s">
        <v>42</v>
      </c>
      <c r="E575" s="6" t="s">
        <v>38</v>
      </c>
      <c r="F575" s="6"/>
      <c r="G575" s="6" t="s">
        <v>1363</v>
      </c>
      <c r="H575" s="6" t="s">
        <v>38</v>
      </c>
      <c r="I575" s="6" t="s">
        <v>440</v>
      </c>
      <c r="J575" s="7" t="s">
        <v>1364</v>
      </c>
    </row>
    <row r="576" customFormat="false" ht="15" hidden="false" customHeight="false" outlineLevel="0" collapsed="false">
      <c r="A576" s="6" t="s">
        <v>1313</v>
      </c>
      <c r="B576" s="6" t="n">
        <v>20</v>
      </c>
      <c r="C576" s="6" t="n">
        <v>2</v>
      </c>
      <c r="D576" s="6" t="s">
        <v>42</v>
      </c>
      <c r="E576" s="6" t="s">
        <v>38</v>
      </c>
      <c r="F576" s="6"/>
      <c r="G576" s="6" t="s">
        <v>387</v>
      </c>
      <c r="H576" s="6" t="s">
        <v>38</v>
      </c>
      <c r="I576" s="6" t="s">
        <v>388</v>
      </c>
      <c r="J576" s="7" t="s">
        <v>1365</v>
      </c>
    </row>
    <row r="577" customFormat="false" ht="15" hidden="false" customHeight="false" outlineLevel="0" collapsed="false">
      <c r="A577" s="6" t="s">
        <v>1313</v>
      </c>
      <c r="B577" s="6" t="n">
        <v>21</v>
      </c>
      <c r="C577" s="6" t="n">
        <v>2</v>
      </c>
      <c r="D577" s="6" t="s">
        <v>42</v>
      </c>
      <c r="E577" s="6" t="s">
        <v>38</v>
      </c>
      <c r="F577" s="6"/>
      <c r="G577" s="6" t="s">
        <v>1366</v>
      </c>
      <c r="H577" s="6" t="s">
        <v>38</v>
      </c>
      <c r="I577" s="6" t="s">
        <v>87</v>
      </c>
      <c r="J577" s="7" t="s">
        <v>1367</v>
      </c>
    </row>
    <row r="578" customFormat="false" ht="15" hidden="false" customHeight="false" outlineLevel="0" collapsed="false">
      <c r="A578" s="6" t="s">
        <v>1313</v>
      </c>
      <c r="B578" s="6" t="n">
        <v>22</v>
      </c>
      <c r="C578" s="6" t="n">
        <v>2</v>
      </c>
      <c r="D578" s="6" t="s">
        <v>42</v>
      </c>
      <c r="E578" s="6" t="s">
        <v>38</v>
      </c>
      <c r="F578" s="6"/>
      <c r="G578" s="6" t="s">
        <v>1368</v>
      </c>
      <c r="H578" s="6" t="s">
        <v>38</v>
      </c>
      <c r="I578" s="6" t="s">
        <v>610</v>
      </c>
      <c r="J578" s="7" t="s">
        <v>1369</v>
      </c>
    </row>
    <row r="579" customFormat="false" ht="15" hidden="false" customHeight="false" outlineLevel="0" collapsed="false">
      <c r="A579" s="6" t="s">
        <v>1313</v>
      </c>
      <c r="B579" s="6" t="n">
        <v>23</v>
      </c>
      <c r="C579" s="6" t="n">
        <v>2</v>
      </c>
      <c r="D579" s="6" t="s">
        <v>42</v>
      </c>
      <c r="E579" s="6" t="s">
        <v>273</v>
      </c>
      <c r="F579" s="6"/>
      <c r="G579" s="6" t="s">
        <v>1370</v>
      </c>
      <c r="H579" s="6" t="s">
        <v>275</v>
      </c>
      <c r="I579" s="6" t="s">
        <v>181</v>
      </c>
      <c r="J579" s="7" t="s">
        <v>1371</v>
      </c>
    </row>
    <row r="580" customFormat="false" ht="15" hidden="false" customHeight="false" outlineLevel="0" collapsed="false">
      <c r="A580" s="6" t="s">
        <v>1313</v>
      </c>
      <c r="B580" s="6" t="n">
        <v>24</v>
      </c>
      <c r="C580" s="6" t="n">
        <v>2</v>
      </c>
      <c r="D580" s="6" t="s">
        <v>42</v>
      </c>
      <c r="E580" s="6" t="s">
        <v>38</v>
      </c>
      <c r="F580" s="6"/>
      <c r="G580" s="6" t="s">
        <v>383</v>
      </c>
      <c r="H580" s="6" t="s">
        <v>38</v>
      </c>
      <c r="I580" s="6" t="s">
        <v>308</v>
      </c>
      <c r="J580" s="7" t="s">
        <v>1372</v>
      </c>
    </row>
    <row r="581" customFormat="false" ht="15" hidden="false" customHeight="false" outlineLevel="0" collapsed="false">
      <c r="A581" s="6" t="s">
        <v>1313</v>
      </c>
      <c r="B581" s="6" t="n">
        <v>25</v>
      </c>
      <c r="C581" s="6" t="n">
        <v>2</v>
      </c>
      <c r="D581" s="6" t="s">
        <v>42</v>
      </c>
      <c r="E581" s="6" t="s">
        <v>38</v>
      </c>
      <c r="F581" s="6"/>
      <c r="G581" s="6" t="s">
        <v>1373</v>
      </c>
      <c r="H581" s="6" t="s">
        <v>38</v>
      </c>
      <c r="I581" s="6" t="s">
        <v>440</v>
      </c>
      <c r="J581" s="7" t="s">
        <v>1374</v>
      </c>
    </row>
    <row r="582" customFormat="false" ht="15" hidden="false" customHeight="false" outlineLevel="0" collapsed="false">
      <c r="A582" s="6" t="s">
        <v>1313</v>
      </c>
      <c r="B582" s="6" t="n">
        <v>26</v>
      </c>
      <c r="C582" s="6" t="n">
        <v>2</v>
      </c>
      <c r="D582" s="6" t="s">
        <v>42</v>
      </c>
      <c r="E582" s="6" t="s">
        <v>38</v>
      </c>
      <c r="F582" s="6"/>
      <c r="G582" s="6" t="s">
        <v>1375</v>
      </c>
      <c r="H582" s="6" t="s">
        <v>38</v>
      </c>
      <c r="I582" s="6" t="s">
        <v>82</v>
      </c>
      <c r="J582" s="7" t="s">
        <v>1376</v>
      </c>
    </row>
    <row r="583" customFormat="false" ht="15" hidden="false" customHeight="false" outlineLevel="0" collapsed="false">
      <c r="A583" s="6" t="s">
        <v>1313</v>
      </c>
      <c r="B583" s="6" t="n">
        <v>27</v>
      </c>
      <c r="C583" s="6" t="n">
        <v>2</v>
      </c>
      <c r="D583" s="6" t="s">
        <v>42</v>
      </c>
      <c r="E583" s="6" t="s">
        <v>38</v>
      </c>
      <c r="F583" s="6"/>
      <c r="G583" s="6" t="s">
        <v>1377</v>
      </c>
      <c r="H583" s="6" t="s">
        <v>38</v>
      </c>
      <c r="I583" s="6" t="s">
        <v>319</v>
      </c>
      <c r="J583" s="7" t="s">
        <v>1378</v>
      </c>
    </row>
    <row r="584" customFormat="false" ht="15" hidden="false" customHeight="false" outlineLevel="0" collapsed="false">
      <c r="A584" s="6" t="s">
        <v>1313</v>
      </c>
      <c r="B584" s="6" t="n">
        <v>28</v>
      </c>
      <c r="C584" s="6" t="n">
        <v>2</v>
      </c>
      <c r="D584" s="6" t="s">
        <v>42</v>
      </c>
      <c r="E584" s="6" t="s">
        <v>38</v>
      </c>
      <c r="F584" s="6"/>
      <c r="G584" s="6" t="s">
        <v>415</v>
      </c>
      <c r="H584" s="6" t="s">
        <v>38</v>
      </c>
      <c r="I584" s="6" t="s">
        <v>51</v>
      </c>
      <c r="J584" s="7" t="s">
        <v>1379</v>
      </c>
    </row>
    <row r="585" customFormat="false" ht="15" hidden="false" customHeight="false" outlineLevel="0" collapsed="false">
      <c r="A585" s="6" t="s">
        <v>1380</v>
      </c>
      <c r="B585" s="6" t="n">
        <v>4</v>
      </c>
      <c r="C585" s="6" t="n">
        <v>1</v>
      </c>
      <c r="D585" s="6" t="s">
        <v>32</v>
      </c>
      <c r="E585" s="6" t="s">
        <v>49</v>
      </c>
      <c r="F585" s="6"/>
      <c r="G585" s="6" t="s">
        <v>103</v>
      </c>
      <c r="H585" s="6" t="s">
        <v>669</v>
      </c>
      <c r="I585" s="6" t="s">
        <v>104</v>
      </c>
      <c r="J585" s="7" t="s">
        <v>105</v>
      </c>
    </row>
    <row r="586" customFormat="false" ht="15" hidden="false" customHeight="false" outlineLevel="0" collapsed="false">
      <c r="A586" s="6" t="s">
        <v>1380</v>
      </c>
      <c r="B586" s="6" t="n">
        <v>5</v>
      </c>
      <c r="C586" s="6" t="n">
        <v>1</v>
      </c>
      <c r="D586" s="6" t="s">
        <v>32</v>
      </c>
      <c r="E586" s="6" t="s">
        <v>49</v>
      </c>
      <c r="F586" s="6"/>
      <c r="G586" s="6" t="s">
        <v>164</v>
      </c>
      <c r="H586" s="6" t="s">
        <v>1381</v>
      </c>
      <c r="I586" s="6" t="s">
        <v>165</v>
      </c>
      <c r="J586" s="7" t="s">
        <v>166</v>
      </c>
    </row>
    <row r="587" customFormat="false" ht="15" hidden="false" customHeight="false" outlineLevel="0" collapsed="false">
      <c r="A587" s="6" t="s">
        <v>1380</v>
      </c>
      <c r="B587" s="6" t="n">
        <v>6</v>
      </c>
      <c r="C587" s="6" t="n">
        <v>1</v>
      </c>
      <c r="D587" s="6" t="s">
        <v>42</v>
      </c>
      <c r="E587" s="6" t="s">
        <v>49</v>
      </c>
      <c r="F587" s="6"/>
      <c r="G587" s="6" t="s">
        <v>793</v>
      </c>
      <c r="H587" s="6" t="s">
        <v>794</v>
      </c>
      <c r="I587" s="6" t="s">
        <v>104</v>
      </c>
      <c r="J587" s="7" t="s">
        <v>1382</v>
      </c>
    </row>
    <row r="588" customFormat="false" ht="15" hidden="false" customHeight="false" outlineLevel="0" collapsed="false">
      <c r="A588" s="6" t="s">
        <v>1380</v>
      </c>
      <c r="B588" s="6" t="n">
        <v>7</v>
      </c>
      <c r="C588" s="6" t="n">
        <v>1</v>
      </c>
      <c r="D588" s="6" t="s">
        <v>42</v>
      </c>
      <c r="E588" s="6" t="s">
        <v>49</v>
      </c>
      <c r="F588" s="6"/>
      <c r="G588" s="6" t="s">
        <v>1383</v>
      </c>
      <c r="H588" s="6" t="s">
        <v>1384</v>
      </c>
      <c r="I588" s="6" t="s">
        <v>201</v>
      </c>
      <c r="J588" s="7" t="s">
        <v>1385</v>
      </c>
    </row>
    <row r="589" customFormat="false" ht="15" hidden="false" customHeight="false" outlineLevel="0" collapsed="false">
      <c r="A589" s="6" t="s">
        <v>1380</v>
      </c>
      <c r="B589" s="6" t="n">
        <v>8</v>
      </c>
      <c r="C589" s="6" t="n">
        <v>1</v>
      </c>
      <c r="D589" s="6" t="s">
        <v>32</v>
      </c>
      <c r="E589" s="6" t="s">
        <v>49</v>
      </c>
      <c r="F589" s="6"/>
      <c r="G589" s="6" t="s">
        <v>161</v>
      </c>
      <c r="H589" s="6" t="s">
        <v>675</v>
      </c>
      <c r="I589" s="6" t="s">
        <v>162</v>
      </c>
      <c r="J589" s="7" t="s">
        <v>163</v>
      </c>
    </row>
    <row r="590" customFormat="false" ht="15" hidden="false" customHeight="false" outlineLevel="0" collapsed="false">
      <c r="A590" s="6" t="s">
        <v>1380</v>
      </c>
      <c r="B590" s="6" t="n">
        <v>9</v>
      </c>
      <c r="C590" s="6" t="n">
        <v>1</v>
      </c>
      <c r="D590" s="6" t="s">
        <v>32</v>
      </c>
      <c r="E590" s="6" t="s">
        <v>49</v>
      </c>
      <c r="F590" s="6"/>
      <c r="G590" s="6" t="s">
        <v>1386</v>
      </c>
      <c r="H590" s="6" t="s">
        <v>1387</v>
      </c>
      <c r="I590" s="6" t="s">
        <v>44</v>
      </c>
      <c r="J590" s="7" t="s">
        <v>1388</v>
      </c>
    </row>
    <row r="591" customFormat="false" ht="15" hidden="false" customHeight="false" outlineLevel="0" collapsed="false">
      <c r="A591" s="6" t="s">
        <v>1380</v>
      </c>
      <c r="B591" s="6" t="n">
        <v>13</v>
      </c>
      <c r="C591" s="6" t="n">
        <v>1</v>
      </c>
      <c r="D591" s="6" t="s">
        <v>42</v>
      </c>
      <c r="E591" s="6" t="s">
        <v>49</v>
      </c>
      <c r="F591" s="6"/>
      <c r="G591" s="6" t="s">
        <v>687</v>
      </c>
      <c r="H591" s="6" t="s">
        <v>688</v>
      </c>
      <c r="I591" s="6" t="s">
        <v>51</v>
      </c>
      <c r="J591" s="7" t="s">
        <v>1389</v>
      </c>
    </row>
    <row r="592" customFormat="false" ht="15" hidden="false" customHeight="false" outlineLevel="0" collapsed="false">
      <c r="A592" s="6" t="s">
        <v>1380</v>
      </c>
      <c r="B592" s="6" t="n">
        <v>14</v>
      </c>
      <c r="C592" s="6" t="n">
        <v>1</v>
      </c>
      <c r="D592" s="6" t="s">
        <v>42</v>
      </c>
      <c r="E592" s="6" t="s">
        <v>49</v>
      </c>
      <c r="F592" s="6"/>
      <c r="G592" s="6" t="s">
        <v>676</v>
      </c>
      <c r="H592" s="6" t="s">
        <v>677</v>
      </c>
      <c r="I592" s="6" t="s">
        <v>201</v>
      </c>
      <c r="J592" s="7" t="s">
        <v>1390</v>
      </c>
    </row>
    <row r="593" customFormat="false" ht="15" hidden="false" customHeight="false" outlineLevel="0" collapsed="false">
      <c r="A593" s="6" t="s">
        <v>1380</v>
      </c>
      <c r="B593" s="6" t="n">
        <v>15</v>
      </c>
      <c r="C593" s="6" t="n">
        <v>1</v>
      </c>
      <c r="D593" s="6" t="s">
        <v>32</v>
      </c>
      <c r="E593" s="6" t="s">
        <v>49</v>
      </c>
      <c r="F593" s="6"/>
      <c r="G593" s="6" t="s">
        <v>194</v>
      </c>
      <c r="H593" s="6" t="s">
        <v>690</v>
      </c>
      <c r="I593" s="6" t="s">
        <v>128</v>
      </c>
      <c r="J593" s="7" t="s">
        <v>691</v>
      </c>
    </row>
    <row r="594" customFormat="false" ht="15" hidden="false" customHeight="false" outlineLevel="0" collapsed="false">
      <c r="A594" s="6" t="s">
        <v>1380</v>
      </c>
      <c r="B594" s="6" t="n">
        <v>17</v>
      </c>
      <c r="C594" s="6" t="n">
        <v>1</v>
      </c>
      <c r="D594" s="6" t="s">
        <v>42</v>
      </c>
      <c r="E594" s="6" t="s">
        <v>49</v>
      </c>
      <c r="F594" s="6"/>
      <c r="G594" s="6" t="s">
        <v>1391</v>
      </c>
      <c r="H594" s="6" t="s">
        <v>1392</v>
      </c>
      <c r="I594" s="6" t="s">
        <v>212</v>
      </c>
      <c r="J594" s="7" t="s">
        <v>1393</v>
      </c>
    </row>
    <row r="595" customFormat="false" ht="15" hidden="false" customHeight="false" outlineLevel="0" collapsed="false">
      <c r="A595" s="6" t="s">
        <v>1380</v>
      </c>
      <c r="B595" s="6" t="n">
        <v>18</v>
      </c>
      <c r="C595" s="6" t="n">
        <v>1</v>
      </c>
      <c r="D595" s="6" t="s">
        <v>42</v>
      </c>
      <c r="E595" s="6" t="s">
        <v>49</v>
      </c>
      <c r="F595" s="6"/>
      <c r="G595" s="6" t="s">
        <v>200</v>
      </c>
      <c r="H595" s="6" t="s">
        <v>1394</v>
      </c>
      <c r="I595" s="6" t="s">
        <v>201</v>
      </c>
      <c r="J595" s="7" t="s">
        <v>1395</v>
      </c>
    </row>
    <row r="596" customFormat="false" ht="15" hidden="false" customHeight="false" outlineLevel="0" collapsed="false">
      <c r="A596" s="6" t="s">
        <v>1380</v>
      </c>
      <c r="B596" s="6" t="n">
        <v>19</v>
      </c>
      <c r="C596" s="6" t="n">
        <v>1</v>
      </c>
      <c r="D596" s="6" t="s">
        <v>42</v>
      </c>
      <c r="E596" s="6" t="s">
        <v>49</v>
      </c>
      <c r="F596" s="6"/>
      <c r="G596" s="6" t="s">
        <v>106</v>
      </c>
      <c r="H596" s="6" t="s">
        <v>800</v>
      </c>
      <c r="I596" s="6" t="s">
        <v>51</v>
      </c>
      <c r="J596" s="7" t="s">
        <v>1396</v>
      </c>
    </row>
    <row r="597" customFormat="false" ht="15" hidden="false" customHeight="false" outlineLevel="0" collapsed="false">
      <c r="A597" s="6" t="s">
        <v>1380</v>
      </c>
      <c r="B597" s="6" t="n">
        <v>20</v>
      </c>
      <c r="C597" s="6" t="n">
        <v>1</v>
      </c>
      <c r="D597" s="6" t="s">
        <v>42</v>
      </c>
      <c r="E597" s="6" t="s">
        <v>49</v>
      </c>
      <c r="F597" s="6"/>
      <c r="G597" s="6" t="s">
        <v>250</v>
      </c>
      <c r="H597" s="6" t="s">
        <v>1397</v>
      </c>
      <c r="I597" s="6" t="s">
        <v>201</v>
      </c>
      <c r="J597" s="7" t="s">
        <v>1398</v>
      </c>
    </row>
    <row r="598" customFormat="false" ht="15" hidden="false" customHeight="false" outlineLevel="0" collapsed="false">
      <c r="A598" s="6" t="s">
        <v>1380</v>
      </c>
      <c r="B598" s="6" t="n">
        <v>21</v>
      </c>
      <c r="C598" s="6" t="n">
        <v>1</v>
      </c>
      <c r="D598" s="6" t="s">
        <v>42</v>
      </c>
      <c r="E598" s="6" t="s">
        <v>49</v>
      </c>
      <c r="F598" s="6"/>
      <c r="G598" s="6" t="s">
        <v>726</v>
      </c>
      <c r="H598" s="6" t="s">
        <v>727</v>
      </c>
      <c r="I598" s="6" t="s">
        <v>201</v>
      </c>
      <c r="J598" s="7" t="s">
        <v>1399</v>
      </c>
    </row>
    <row r="599" customFormat="false" ht="15" hidden="false" customHeight="false" outlineLevel="0" collapsed="false">
      <c r="A599" s="6" t="s">
        <v>1380</v>
      </c>
      <c r="B599" s="6" t="n">
        <v>27</v>
      </c>
      <c r="C599" s="6" t="n">
        <v>1</v>
      </c>
      <c r="D599" s="6" t="s">
        <v>42</v>
      </c>
      <c r="E599" s="6" t="s">
        <v>49</v>
      </c>
      <c r="F599" s="6"/>
      <c r="G599" s="6" t="s">
        <v>1400</v>
      </c>
      <c r="H599" s="6" t="s">
        <v>1401</v>
      </c>
      <c r="I599" s="6" t="s">
        <v>128</v>
      </c>
      <c r="J599" s="7" t="s">
        <v>1402</v>
      </c>
    </row>
    <row r="600" customFormat="false" ht="15" hidden="false" customHeight="false" outlineLevel="0" collapsed="false">
      <c r="A600" s="6" t="s">
        <v>1380</v>
      </c>
      <c r="B600" s="6" t="n">
        <v>28</v>
      </c>
      <c r="C600" s="6" t="n">
        <v>1</v>
      </c>
      <c r="D600" s="6" t="s">
        <v>42</v>
      </c>
      <c r="E600" s="6" t="s">
        <v>49</v>
      </c>
      <c r="F600" s="6"/>
      <c r="G600" s="6" t="s">
        <v>1403</v>
      </c>
      <c r="H600" s="6" t="s">
        <v>1404</v>
      </c>
      <c r="I600" s="6" t="s">
        <v>128</v>
      </c>
      <c r="J600" s="7" t="s">
        <v>1405</v>
      </c>
    </row>
    <row r="601" customFormat="false" ht="15" hidden="false" customHeight="false" outlineLevel="0" collapsed="false">
      <c r="A601" s="6" t="s">
        <v>1380</v>
      </c>
      <c r="B601" s="6" t="n">
        <v>29</v>
      </c>
      <c r="C601" s="6" t="n">
        <v>1</v>
      </c>
      <c r="D601" s="6" t="s">
        <v>42</v>
      </c>
      <c r="E601" s="6" t="s">
        <v>49</v>
      </c>
      <c r="F601" s="6"/>
      <c r="G601" s="6" t="s">
        <v>1406</v>
      </c>
      <c r="H601" s="6" t="s">
        <v>1407</v>
      </c>
      <c r="I601" s="6" t="s">
        <v>104</v>
      </c>
      <c r="J601" s="7" t="s">
        <v>1408</v>
      </c>
    </row>
    <row r="602" customFormat="false" ht="15" hidden="false" customHeight="false" outlineLevel="0" collapsed="false">
      <c r="A602" s="6" t="s">
        <v>1380</v>
      </c>
      <c r="B602" s="6" t="n">
        <v>30</v>
      </c>
      <c r="C602" s="6" t="n">
        <v>1</v>
      </c>
      <c r="D602" s="6" t="s">
        <v>42</v>
      </c>
      <c r="E602" s="6" t="s">
        <v>49</v>
      </c>
      <c r="F602" s="6" t="s">
        <v>155</v>
      </c>
      <c r="G602" s="6" t="s">
        <v>63</v>
      </c>
      <c r="H602" s="6" t="s">
        <v>792</v>
      </c>
      <c r="I602" s="6" t="s">
        <v>64</v>
      </c>
      <c r="J602" s="7" t="s">
        <v>1409</v>
      </c>
    </row>
    <row r="603" customFormat="false" ht="15" hidden="false" customHeight="false" outlineLevel="0" collapsed="false">
      <c r="A603" s="6" t="s">
        <v>1380</v>
      </c>
      <c r="B603" s="6" t="n">
        <v>31</v>
      </c>
      <c r="C603" s="6" t="n">
        <v>1</v>
      </c>
      <c r="D603" s="6" t="s">
        <v>42</v>
      </c>
      <c r="E603" s="6" t="s">
        <v>49</v>
      </c>
      <c r="F603" s="6"/>
      <c r="G603" s="6" t="s">
        <v>1410</v>
      </c>
      <c r="H603" s="6" t="s">
        <v>1411</v>
      </c>
      <c r="I603" s="6" t="s">
        <v>1412</v>
      </c>
      <c r="J603" s="7" t="s">
        <v>1413</v>
      </c>
    </row>
    <row r="604" customFormat="false" ht="15" hidden="false" customHeight="false" outlineLevel="0" collapsed="false">
      <c r="A604" s="6" t="s">
        <v>1380</v>
      </c>
      <c r="B604" s="6" t="n">
        <v>32</v>
      </c>
      <c r="C604" s="6" t="n">
        <v>1</v>
      </c>
      <c r="D604" s="6" t="s">
        <v>42</v>
      </c>
      <c r="E604" s="6" t="s">
        <v>49</v>
      </c>
      <c r="F604" s="6"/>
      <c r="G604" s="6" t="s">
        <v>236</v>
      </c>
      <c r="H604" s="6" t="s">
        <v>750</v>
      </c>
      <c r="I604" s="6" t="s">
        <v>128</v>
      </c>
      <c r="J604" s="7" t="s">
        <v>1414</v>
      </c>
    </row>
    <row r="605" customFormat="false" ht="15" hidden="false" customHeight="false" outlineLevel="0" collapsed="false">
      <c r="A605" s="6" t="s">
        <v>1380</v>
      </c>
      <c r="B605" s="6" t="n">
        <v>4</v>
      </c>
      <c r="C605" s="6" t="n">
        <v>2</v>
      </c>
      <c r="D605" s="6" t="s">
        <v>32</v>
      </c>
      <c r="E605" s="6" t="s">
        <v>49</v>
      </c>
      <c r="F605" s="6"/>
      <c r="G605" s="6" t="s">
        <v>222</v>
      </c>
      <c r="H605" s="6" t="s">
        <v>798</v>
      </c>
      <c r="I605" s="6" t="s">
        <v>181</v>
      </c>
      <c r="J605" s="7" t="s">
        <v>799</v>
      </c>
    </row>
    <row r="606" customFormat="false" ht="15" hidden="false" customHeight="false" outlineLevel="0" collapsed="false">
      <c r="A606" s="6" t="s">
        <v>1380</v>
      </c>
      <c r="B606" s="6" t="n">
        <v>6</v>
      </c>
      <c r="C606" s="6" t="n">
        <v>2</v>
      </c>
      <c r="D606" s="6" t="s">
        <v>42</v>
      </c>
      <c r="E606" s="6" t="s">
        <v>49</v>
      </c>
      <c r="F606" s="6"/>
      <c r="G606" s="6" t="s">
        <v>899</v>
      </c>
      <c r="H606" s="6" t="s">
        <v>900</v>
      </c>
      <c r="I606" s="6" t="s">
        <v>212</v>
      </c>
      <c r="J606" s="7" t="s">
        <v>1415</v>
      </c>
    </row>
    <row r="607" customFormat="false" ht="15" hidden="false" customHeight="false" outlineLevel="0" collapsed="false">
      <c r="A607" s="6" t="s">
        <v>1380</v>
      </c>
      <c r="B607" s="6" t="n">
        <v>7</v>
      </c>
      <c r="C607" s="6" t="n">
        <v>2</v>
      </c>
      <c r="D607" s="6" t="s">
        <v>42</v>
      </c>
      <c r="E607" s="6" t="s">
        <v>49</v>
      </c>
      <c r="F607" s="6"/>
      <c r="G607" s="6" t="s">
        <v>145</v>
      </c>
      <c r="H607" s="6" t="s">
        <v>839</v>
      </c>
      <c r="I607" s="6" t="s">
        <v>64</v>
      </c>
      <c r="J607" s="7" t="s">
        <v>1416</v>
      </c>
    </row>
    <row r="608" customFormat="false" ht="15" hidden="false" customHeight="false" outlineLevel="0" collapsed="false">
      <c r="A608" s="6" t="s">
        <v>1380</v>
      </c>
      <c r="B608" s="6" t="n">
        <v>8</v>
      </c>
      <c r="C608" s="6" t="n">
        <v>2</v>
      </c>
      <c r="D608" s="6" t="s">
        <v>32</v>
      </c>
      <c r="E608" s="6" t="s">
        <v>49</v>
      </c>
      <c r="F608" s="6"/>
      <c r="G608" s="6" t="s">
        <v>1417</v>
      </c>
      <c r="H608" s="6" t="s">
        <v>1418</v>
      </c>
      <c r="I608" s="6" t="s">
        <v>128</v>
      </c>
      <c r="J608" s="7" t="s">
        <v>1419</v>
      </c>
    </row>
    <row r="609" customFormat="false" ht="15" hidden="false" customHeight="false" outlineLevel="0" collapsed="false">
      <c r="A609" s="6" t="s">
        <v>1380</v>
      </c>
      <c r="B609" s="6" t="n">
        <v>9</v>
      </c>
      <c r="C609" s="6" t="n">
        <v>2</v>
      </c>
      <c r="D609" s="6" t="s">
        <v>32</v>
      </c>
      <c r="E609" s="6" t="s">
        <v>49</v>
      </c>
      <c r="F609" s="6"/>
      <c r="G609" s="6" t="s">
        <v>1420</v>
      </c>
      <c r="H609" s="6" t="s">
        <v>1421</v>
      </c>
      <c r="I609" s="6" t="s">
        <v>44</v>
      </c>
      <c r="J609" s="7" t="s">
        <v>1422</v>
      </c>
    </row>
    <row r="610" customFormat="false" ht="15" hidden="false" customHeight="false" outlineLevel="0" collapsed="false">
      <c r="A610" s="6" t="s">
        <v>1380</v>
      </c>
      <c r="B610" s="6" t="n">
        <v>15</v>
      </c>
      <c r="C610" s="6" t="n">
        <v>2</v>
      </c>
      <c r="D610" s="6" t="s">
        <v>42</v>
      </c>
      <c r="E610" s="6" t="s">
        <v>49</v>
      </c>
      <c r="F610" s="6"/>
      <c r="G610" s="6" t="s">
        <v>1423</v>
      </c>
      <c r="H610" s="6" t="s">
        <v>1424</v>
      </c>
      <c r="I610" s="6" t="s">
        <v>40</v>
      </c>
      <c r="J610" s="7" t="s">
        <v>1425</v>
      </c>
    </row>
    <row r="611" customFormat="false" ht="15" hidden="false" customHeight="false" outlineLevel="0" collapsed="false">
      <c r="A611" s="6" t="s">
        <v>1380</v>
      </c>
      <c r="B611" s="6" t="n">
        <v>16</v>
      </c>
      <c r="C611" s="6" t="n">
        <v>2</v>
      </c>
      <c r="D611" s="6" t="s">
        <v>42</v>
      </c>
      <c r="E611" s="6" t="s">
        <v>49</v>
      </c>
      <c r="F611" s="6"/>
      <c r="G611" s="6" t="s">
        <v>1426</v>
      </c>
      <c r="H611" s="6" t="s">
        <v>1427</v>
      </c>
      <c r="I611" s="6" t="s">
        <v>111</v>
      </c>
      <c r="J611" s="7" t="s">
        <v>1428</v>
      </c>
    </row>
    <row r="612" customFormat="false" ht="15" hidden="false" customHeight="false" outlineLevel="0" collapsed="false">
      <c r="A612" s="6" t="s">
        <v>1380</v>
      </c>
      <c r="B612" s="6" t="n">
        <v>17</v>
      </c>
      <c r="C612" s="6" t="n">
        <v>2</v>
      </c>
      <c r="D612" s="6" t="s">
        <v>32</v>
      </c>
      <c r="E612" s="6" t="s">
        <v>49</v>
      </c>
      <c r="F612" s="6"/>
      <c r="G612" s="6" t="s">
        <v>206</v>
      </c>
      <c r="H612" s="6" t="s">
        <v>1429</v>
      </c>
      <c r="I612" s="6" t="s">
        <v>165</v>
      </c>
      <c r="J612" s="7" t="s">
        <v>207</v>
      </c>
    </row>
    <row r="613" customFormat="false" ht="15" hidden="false" customHeight="false" outlineLevel="0" collapsed="false">
      <c r="A613" s="6" t="s">
        <v>1380</v>
      </c>
      <c r="B613" s="6" t="n">
        <v>19</v>
      </c>
      <c r="C613" s="6" t="n">
        <v>2</v>
      </c>
      <c r="D613" s="6" t="s">
        <v>42</v>
      </c>
      <c r="E613" s="6" t="s">
        <v>49</v>
      </c>
      <c r="F613" s="6"/>
      <c r="G613" s="6" t="s">
        <v>1430</v>
      </c>
      <c r="H613" s="6" t="s">
        <v>1431</v>
      </c>
      <c r="I613" s="6" t="s">
        <v>212</v>
      </c>
      <c r="J613" s="7" t="s">
        <v>1432</v>
      </c>
    </row>
    <row r="614" customFormat="false" ht="15" hidden="false" customHeight="false" outlineLevel="0" collapsed="false">
      <c r="A614" s="6" t="s">
        <v>1380</v>
      </c>
      <c r="B614" s="6" t="n">
        <v>20</v>
      </c>
      <c r="C614" s="6" t="n">
        <v>2</v>
      </c>
      <c r="D614" s="6" t="s">
        <v>42</v>
      </c>
      <c r="E614" s="6" t="s">
        <v>49</v>
      </c>
      <c r="F614" s="6"/>
      <c r="G614" s="6" t="s">
        <v>189</v>
      </c>
      <c r="H614" s="6" t="s">
        <v>877</v>
      </c>
      <c r="I614" s="6" t="s">
        <v>47</v>
      </c>
      <c r="J614" s="7" t="s">
        <v>1433</v>
      </c>
    </row>
    <row r="615" customFormat="false" ht="15" hidden="false" customHeight="false" outlineLevel="0" collapsed="false">
      <c r="A615" s="6" t="s">
        <v>1380</v>
      </c>
      <c r="B615" s="6" t="n">
        <v>21</v>
      </c>
      <c r="C615" s="6" t="n">
        <v>2</v>
      </c>
      <c r="D615" s="6" t="s">
        <v>32</v>
      </c>
      <c r="E615" s="6" t="s">
        <v>66</v>
      </c>
      <c r="F615" s="6"/>
      <c r="G615" s="6" t="s">
        <v>67</v>
      </c>
      <c r="H615" s="6" t="s">
        <v>807</v>
      </c>
      <c r="I615" s="6" t="s">
        <v>40</v>
      </c>
      <c r="J615" s="7" t="s">
        <v>69</v>
      </c>
    </row>
    <row r="616" customFormat="false" ht="15" hidden="false" customHeight="false" outlineLevel="0" collapsed="false">
      <c r="A616" s="6" t="s">
        <v>1380</v>
      </c>
      <c r="B616" s="6" t="n">
        <v>22</v>
      </c>
      <c r="C616" s="6" t="n">
        <v>2</v>
      </c>
      <c r="D616" s="6" t="s">
        <v>32</v>
      </c>
      <c r="E616" s="6" t="s">
        <v>175</v>
      </c>
      <c r="F616" s="6"/>
      <c r="G616" s="6" t="s">
        <v>765</v>
      </c>
      <c r="H616" s="6" t="s">
        <v>766</v>
      </c>
      <c r="I616" s="6" t="s">
        <v>694</v>
      </c>
      <c r="J616" s="7" t="s">
        <v>1434</v>
      </c>
    </row>
    <row r="617" customFormat="false" ht="15" hidden="false" customHeight="false" outlineLevel="0" collapsed="false">
      <c r="A617" s="6" t="s">
        <v>1380</v>
      </c>
      <c r="B617" s="6" t="n">
        <v>23</v>
      </c>
      <c r="C617" s="6" t="n">
        <v>2</v>
      </c>
      <c r="D617" s="6" t="s">
        <v>42</v>
      </c>
      <c r="E617" s="6" t="s">
        <v>49</v>
      </c>
      <c r="F617" s="6"/>
      <c r="G617" s="6" t="s">
        <v>1435</v>
      </c>
      <c r="H617" s="6" t="s">
        <v>1436</v>
      </c>
      <c r="I617" s="6" t="s">
        <v>111</v>
      </c>
      <c r="J617" s="7" t="s">
        <v>1437</v>
      </c>
    </row>
    <row r="618" customFormat="false" ht="15" hidden="false" customHeight="false" outlineLevel="0" collapsed="false">
      <c r="A618" s="6" t="s">
        <v>1380</v>
      </c>
      <c r="B618" s="6" t="n">
        <v>24</v>
      </c>
      <c r="C618" s="6" t="n">
        <v>2</v>
      </c>
      <c r="D618" s="6" t="s">
        <v>42</v>
      </c>
      <c r="E618" s="6" t="s">
        <v>55</v>
      </c>
      <c r="F618" s="6"/>
      <c r="G618" s="6" t="s">
        <v>56</v>
      </c>
      <c r="H618" s="6" t="s">
        <v>670</v>
      </c>
      <c r="I618" s="6" t="s">
        <v>58</v>
      </c>
      <c r="J618" s="7" t="s">
        <v>1438</v>
      </c>
    </row>
    <row r="619" customFormat="false" ht="15" hidden="false" customHeight="false" outlineLevel="0" collapsed="false">
      <c r="A619" s="6" t="s">
        <v>1380</v>
      </c>
      <c r="B619" s="6" t="n">
        <v>25</v>
      </c>
      <c r="C619" s="6" t="n">
        <v>2</v>
      </c>
      <c r="D619" s="6" t="s">
        <v>42</v>
      </c>
      <c r="E619" s="6" t="s">
        <v>49</v>
      </c>
      <c r="F619" s="6"/>
      <c r="G619" s="6" t="s">
        <v>1439</v>
      </c>
      <c r="H619" s="6" t="s">
        <v>1440</v>
      </c>
      <c r="I619" s="6" t="s">
        <v>82</v>
      </c>
      <c r="J619" s="7" t="s">
        <v>1441</v>
      </c>
    </row>
    <row r="620" customFormat="false" ht="15" hidden="false" customHeight="false" outlineLevel="0" collapsed="false">
      <c r="A620" s="6" t="s">
        <v>1380</v>
      </c>
      <c r="B620" s="6" t="n">
        <v>26</v>
      </c>
      <c r="C620" s="6" t="n">
        <v>2</v>
      </c>
      <c r="D620" s="6" t="s">
        <v>42</v>
      </c>
      <c r="E620" s="6" t="s">
        <v>49</v>
      </c>
      <c r="F620" s="6"/>
      <c r="G620" s="6" t="s">
        <v>1442</v>
      </c>
      <c r="H620" s="6" t="s">
        <v>1443</v>
      </c>
      <c r="I620" s="6"/>
      <c r="J620" s="7" t="s">
        <v>1444</v>
      </c>
    </row>
    <row r="621" customFormat="false" ht="15" hidden="false" customHeight="false" outlineLevel="0" collapsed="false">
      <c r="A621" s="6" t="s">
        <v>1380</v>
      </c>
      <c r="B621" s="6" t="n">
        <v>28</v>
      </c>
      <c r="C621" s="6" t="n">
        <v>2</v>
      </c>
      <c r="D621" s="6" t="s">
        <v>42</v>
      </c>
      <c r="E621" s="6" t="s">
        <v>49</v>
      </c>
      <c r="F621" s="6"/>
      <c r="G621" s="6" t="s">
        <v>187</v>
      </c>
      <c r="H621" s="6" t="s">
        <v>891</v>
      </c>
      <c r="I621" s="6" t="s">
        <v>181</v>
      </c>
      <c r="J621" s="7" t="s">
        <v>1445</v>
      </c>
    </row>
    <row r="622" customFormat="false" ht="15" hidden="false" customHeight="false" outlineLevel="0" collapsed="false">
      <c r="A622" s="6" t="s">
        <v>1380</v>
      </c>
      <c r="B622" s="6" t="n">
        <v>29</v>
      </c>
      <c r="C622" s="6" t="n">
        <v>2</v>
      </c>
      <c r="D622" s="6" t="s">
        <v>42</v>
      </c>
      <c r="E622" s="6" t="s">
        <v>49</v>
      </c>
      <c r="F622" s="6"/>
      <c r="G622" s="6" t="s">
        <v>1446</v>
      </c>
      <c r="H622" s="6" t="s">
        <v>1447</v>
      </c>
      <c r="I622" s="6" t="s">
        <v>1448</v>
      </c>
      <c r="J622" s="7" t="s">
        <v>1449</v>
      </c>
    </row>
    <row r="623" customFormat="false" ht="15" hidden="false" customHeight="false" outlineLevel="0" collapsed="false">
      <c r="A623" s="6" t="s">
        <v>1380</v>
      </c>
      <c r="B623" s="6" t="n">
        <v>30</v>
      </c>
      <c r="C623" s="6" t="n">
        <v>2</v>
      </c>
      <c r="D623" s="6" t="s">
        <v>42</v>
      </c>
      <c r="E623" s="6" t="s">
        <v>683</v>
      </c>
      <c r="F623" s="6"/>
      <c r="G623" s="6" t="s">
        <v>906</v>
      </c>
      <c r="H623" s="6" t="s">
        <v>907</v>
      </c>
      <c r="I623" s="6" t="s">
        <v>908</v>
      </c>
      <c r="J623" s="7" t="s">
        <v>1450</v>
      </c>
    </row>
    <row r="624" customFormat="false" ht="15" hidden="false" customHeight="false" outlineLevel="0" collapsed="false">
      <c r="A624" s="6" t="s">
        <v>1380</v>
      </c>
      <c r="B624" s="6" t="n">
        <v>31</v>
      </c>
      <c r="C624" s="6" t="n">
        <v>2</v>
      </c>
      <c r="D624" s="6" t="s">
        <v>42</v>
      </c>
      <c r="E624" s="6" t="s">
        <v>38</v>
      </c>
      <c r="F624" s="6"/>
      <c r="G624" s="6" t="s">
        <v>896</v>
      </c>
      <c r="H624" s="6" t="s">
        <v>897</v>
      </c>
      <c r="I624" s="6" t="s">
        <v>201</v>
      </c>
      <c r="J624" s="7" t="s">
        <v>1451</v>
      </c>
    </row>
    <row r="625" customFormat="false" ht="15" hidden="false" customHeight="false" outlineLevel="0" collapsed="false">
      <c r="A625" s="6" t="s">
        <v>1380</v>
      </c>
      <c r="B625" s="6" t="n">
        <v>32</v>
      </c>
      <c r="C625" s="6" t="n">
        <v>2</v>
      </c>
      <c r="D625" s="6" t="s">
        <v>42</v>
      </c>
      <c r="E625" s="6" t="s">
        <v>33</v>
      </c>
      <c r="F625" s="6"/>
      <c r="G625" s="6" t="s">
        <v>92</v>
      </c>
      <c r="H625" s="6" t="s">
        <v>796</v>
      </c>
      <c r="I625" s="6" t="s">
        <v>93</v>
      </c>
      <c r="J625" s="7" t="s">
        <v>1452</v>
      </c>
    </row>
    <row r="626" customFormat="false" ht="15" hidden="false" customHeight="false" outlineLevel="0" collapsed="false">
      <c r="A626" s="6" t="s">
        <v>1453</v>
      </c>
      <c r="B626" s="6" t="n">
        <v>3</v>
      </c>
      <c r="C626" s="6" t="n">
        <v>1</v>
      </c>
      <c r="D626" s="6" t="s">
        <v>32</v>
      </c>
      <c r="E626" s="6" t="s">
        <v>49</v>
      </c>
      <c r="F626" s="6"/>
      <c r="G626" s="6" t="s">
        <v>460</v>
      </c>
      <c r="H626" s="6" t="s">
        <v>461</v>
      </c>
      <c r="I626" s="6" t="s">
        <v>462</v>
      </c>
      <c r="J626" s="7" t="s">
        <v>463</v>
      </c>
    </row>
    <row r="627" customFormat="false" ht="15" hidden="false" customHeight="false" outlineLevel="0" collapsed="false">
      <c r="A627" s="6" t="s">
        <v>1453</v>
      </c>
      <c r="B627" s="6" t="n">
        <v>4</v>
      </c>
      <c r="C627" s="6" t="n">
        <v>1</v>
      </c>
      <c r="D627" s="6" t="s">
        <v>32</v>
      </c>
      <c r="E627" s="6" t="s">
        <v>49</v>
      </c>
      <c r="F627" s="6"/>
      <c r="G627" s="6" t="s">
        <v>1454</v>
      </c>
      <c r="H627" s="6" t="s">
        <v>49</v>
      </c>
      <c r="I627" s="6" t="s">
        <v>319</v>
      </c>
      <c r="J627" s="7" t="s">
        <v>1455</v>
      </c>
    </row>
    <row r="628" customFormat="false" ht="15" hidden="false" customHeight="false" outlineLevel="0" collapsed="false">
      <c r="A628" s="6" t="s">
        <v>1453</v>
      </c>
      <c r="B628" s="6" t="n">
        <v>5</v>
      </c>
      <c r="C628" s="6" t="n">
        <v>1</v>
      </c>
      <c r="D628" s="6" t="s">
        <v>42</v>
      </c>
      <c r="E628" s="6" t="s">
        <v>49</v>
      </c>
      <c r="F628" s="6"/>
      <c r="G628" s="6" t="s">
        <v>403</v>
      </c>
      <c r="H628" s="6" t="s">
        <v>49</v>
      </c>
      <c r="I628" s="6" t="s">
        <v>87</v>
      </c>
      <c r="J628" s="7" t="s">
        <v>1456</v>
      </c>
    </row>
    <row r="629" customFormat="false" ht="15" hidden="false" customHeight="false" outlineLevel="0" collapsed="false">
      <c r="A629" s="6" t="s">
        <v>1453</v>
      </c>
      <c r="B629" s="6" t="n">
        <v>6</v>
      </c>
      <c r="C629" s="6" t="n">
        <v>1</v>
      </c>
      <c r="D629" s="6" t="s">
        <v>42</v>
      </c>
      <c r="E629" s="6" t="s">
        <v>49</v>
      </c>
      <c r="F629" s="6"/>
      <c r="G629" s="6" t="s">
        <v>514</v>
      </c>
      <c r="H629" s="6" t="s">
        <v>49</v>
      </c>
      <c r="I629" s="6" t="s">
        <v>87</v>
      </c>
      <c r="J629" s="7" t="s">
        <v>1457</v>
      </c>
    </row>
    <row r="630" customFormat="false" ht="15" hidden="false" customHeight="false" outlineLevel="0" collapsed="false">
      <c r="A630" s="6" t="s">
        <v>1453</v>
      </c>
      <c r="B630" s="6" t="n">
        <v>7</v>
      </c>
      <c r="C630" s="6" t="n">
        <v>1</v>
      </c>
      <c r="D630" s="6" t="s">
        <v>32</v>
      </c>
      <c r="E630" s="6" t="s">
        <v>49</v>
      </c>
      <c r="F630" s="6"/>
      <c r="G630" s="6" t="s">
        <v>293</v>
      </c>
      <c r="H630" s="6" t="s">
        <v>49</v>
      </c>
      <c r="I630" s="6" t="s">
        <v>294</v>
      </c>
      <c r="J630" s="7" t="s">
        <v>295</v>
      </c>
    </row>
    <row r="631" customFormat="false" ht="15" hidden="false" customHeight="false" outlineLevel="0" collapsed="false">
      <c r="A631" s="6" t="s">
        <v>1453</v>
      </c>
      <c r="B631" s="6" t="n">
        <v>8</v>
      </c>
      <c r="C631" s="6" t="n">
        <v>1</v>
      </c>
      <c r="D631" s="6" t="s">
        <v>32</v>
      </c>
      <c r="E631" s="6" t="s">
        <v>49</v>
      </c>
      <c r="F631" s="6"/>
      <c r="G631" s="6" t="s">
        <v>571</v>
      </c>
      <c r="H631" s="6" t="s">
        <v>49</v>
      </c>
      <c r="I631" s="6" t="s">
        <v>297</v>
      </c>
      <c r="J631" s="7" t="s">
        <v>572</v>
      </c>
    </row>
    <row r="632" customFormat="false" ht="15" hidden="false" customHeight="false" outlineLevel="0" collapsed="false">
      <c r="A632" s="6" t="s">
        <v>1453</v>
      </c>
      <c r="B632" s="6" t="n">
        <v>12</v>
      </c>
      <c r="C632" s="6" t="n">
        <v>1</v>
      </c>
      <c r="D632" s="6" t="s">
        <v>42</v>
      </c>
      <c r="E632" s="6" t="s">
        <v>49</v>
      </c>
      <c r="F632" s="6"/>
      <c r="G632" s="6" t="s">
        <v>466</v>
      </c>
      <c r="H632" s="6" t="s">
        <v>49</v>
      </c>
      <c r="I632" s="6" t="s">
        <v>181</v>
      </c>
      <c r="J632" s="7" t="s">
        <v>1458</v>
      </c>
    </row>
    <row r="633" customFormat="false" ht="15" hidden="false" customHeight="false" outlineLevel="0" collapsed="false">
      <c r="A633" s="6" t="s">
        <v>1453</v>
      </c>
      <c r="B633" s="6" t="n">
        <v>13</v>
      </c>
      <c r="C633" s="6" t="n">
        <v>1</v>
      </c>
      <c r="D633" s="6" t="s">
        <v>42</v>
      </c>
      <c r="E633" s="6" t="s">
        <v>49</v>
      </c>
      <c r="F633" s="6"/>
      <c r="G633" s="6" t="s">
        <v>468</v>
      </c>
      <c r="H633" s="6" t="s">
        <v>49</v>
      </c>
      <c r="I633" s="6" t="s">
        <v>178</v>
      </c>
      <c r="J633" s="7" t="s">
        <v>1459</v>
      </c>
    </row>
    <row r="634" customFormat="false" ht="15" hidden="false" customHeight="false" outlineLevel="0" collapsed="false">
      <c r="A634" s="6" t="s">
        <v>1453</v>
      </c>
      <c r="B634" s="6" t="n">
        <v>14</v>
      </c>
      <c r="C634" s="6" t="n">
        <v>1</v>
      </c>
      <c r="D634" s="6" t="s">
        <v>32</v>
      </c>
      <c r="E634" s="6" t="s">
        <v>273</v>
      </c>
      <c r="F634" s="6"/>
      <c r="G634" s="6" t="s">
        <v>1062</v>
      </c>
      <c r="H634" s="6" t="s">
        <v>275</v>
      </c>
      <c r="I634" s="6" t="s">
        <v>212</v>
      </c>
      <c r="J634" s="7" t="s">
        <v>1460</v>
      </c>
    </row>
    <row r="635" customFormat="false" ht="15" hidden="false" customHeight="false" outlineLevel="0" collapsed="false">
      <c r="A635" s="6" t="s">
        <v>1453</v>
      </c>
      <c r="B635" s="6" t="n">
        <v>15</v>
      </c>
      <c r="C635" s="6" t="n">
        <v>1</v>
      </c>
      <c r="D635" s="6" t="s">
        <v>32</v>
      </c>
      <c r="E635" s="6" t="s">
        <v>49</v>
      </c>
      <c r="F635" s="6"/>
      <c r="G635" s="6" t="s">
        <v>1461</v>
      </c>
      <c r="H635" s="6" t="s">
        <v>49</v>
      </c>
      <c r="I635" s="6" t="s">
        <v>101</v>
      </c>
      <c r="J635" s="7" t="s">
        <v>1462</v>
      </c>
    </row>
    <row r="636" customFormat="false" ht="15" hidden="false" customHeight="false" outlineLevel="0" collapsed="false">
      <c r="A636" s="6" t="s">
        <v>1453</v>
      </c>
      <c r="B636" s="6" t="n">
        <v>16</v>
      </c>
      <c r="C636" s="6" t="n">
        <v>1</v>
      </c>
      <c r="D636" s="6" t="s">
        <v>42</v>
      </c>
      <c r="E636" s="6" t="s">
        <v>49</v>
      </c>
      <c r="F636" s="6"/>
      <c r="G636" s="6" t="s">
        <v>1174</v>
      </c>
      <c r="H636" s="6" t="s">
        <v>49</v>
      </c>
      <c r="I636" s="6" t="s">
        <v>181</v>
      </c>
      <c r="J636" s="7" t="s">
        <v>1463</v>
      </c>
    </row>
    <row r="637" customFormat="false" ht="15" hidden="false" customHeight="false" outlineLevel="0" collapsed="false">
      <c r="A637" s="6" t="s">
        <v>1453</v>
      </c>
      <c r="B637" s="6" t="n">
        <v>17</v>
      </c>
      <c r="C637" s="6" t="n">
        <v>1</v>
      </c>
      <c r="D637" s="6" t="s">
        <v>42</v>
      </c>
      <c r="E637" s="6" t="s">
        <v>49</v>
      </c>
      <c r="F637" s="6"/>
      <c r="G637" s="6" t="s">
        <v>447</v>
      </c>
      <c r="H637" s="6" t="s">
        <v>49</v>
      </c>
      <c r="I637" s="6" t="s">
        <v>44</v>
      </c>
      <c r="J637" s="7" t="s">
        <v>483</v>
      </c>
    </row>
    <row r="638" customFormat="false" ht="15" hidden="false" customHeight="false" outlineLevel="0" collapsed="false">
      <c r="A638" s="6" t="s">
        <v>1453</v>
      </c>
      <c r="B638" s="6" t="n">
        <v>18</v>
      </c>
      <c r="C638" s="6" t="n">
        <v>1</v>
      </c>
      <c r="D638" s="6" t="s">
        <v>42</v>
      </c>
      <c r="E638" s="6" t="s">
        <v>38</v>
      </c>
      <c r="F638" s="6"/>
      <c r="G638" s="6" t="s">
        <v>1464</v>
      </c>
      <c r="H638" s="6" t="s">
        <v>38</v>
      </c>
      <c r="I638" s="6" t="s">
        <v>87</v>
      </c>
      <c r="J638" s="7" t="s">
        <v>1465</v>
      </c>
    </row>
    <row r="639" customFormat="false" ht="15" hidden="false" customHeight="false" outlineLevel="0" collapsed="false">
      <c r="A639" s="6" t="s">
        <v>1453</v>
      </c>
      <c r="B639" s="6" t="n">
        <v>19</v>
      </c>
      <c r="C639" s="6" t="n">
        <v>1</v>
      </c>
      <c r="D639" s="6" t="s">
        <v>42</v>
      </c>
      <c r="E639" s="6" t="s">
        <v>49</v>
      </c>
      <c r="F639" s="6"/>
      <c r="G639" s="6" t="s">
        <v>457</v>
      </c>
      <c r="H639" s="6" t="s">
        <v>49</v>
      </c>
      <c r="I639" s="6" t="s">
        <v>51</v>
      </c>
      <c r="J639" s="7" t="s">
        <v>1466</v>
      </c>
    </row>
    <row r="640" customFormat="false" ht="15" hidden="false" customHeight="false" outlineLevel="0" collapsed="false">
      <c r="A640" s="6" t="s">
        <v>1453</v>
      </c>
      <c r="B640" s="6" t="n">
        <v>20</v>
      </c>
      <c r="C640" s="6" t="n">
        <v>1</v>
      </c>
      <c r="D640" s="6" t="s">
        <v>42</v>
      </c>
      <c r="E640" s="6" t="s">
        <v>49</v>
      </c>
      <c r="F640" s="6"/>
      <c r="G640" s="6" t="s">
        <v>1467</v>
      </c>
      <c r="H640" s="6" t="s">
        <v>49</v>
      </c>
      <c r="I640" s="6" t="s">
        <v>40</v>
      </c>
      <c r="J640" s="7" t="s">
        <v>1468</v>
      </c>
    </row>
    <row r="641" customFormat="false" ht="15" hidden="false" customHeight="false" outlineLevel="0" collapsed="false">
      <c r="A641" s="6" t="s">
        <v>1453</v>
      </c>
      <c r="B641" s="6" t="n">
        <v>23</v>
      </c>
      <c r="C641" s="6" t="n">
        <v>1</v>
      </c>
      <c r="D641" s="6" t="s">
        <v>42</v>
      </c>
      <c r="E641" s="6" t="s">
        <v>49</v>
      </c>
      <c r="F641" s="6"/>
      <c r="G641" s="6" t="s">
        <v>1469</v>
      </c>
      <c r="H641" s="6" t="s">
        <v>49</v>
      </c>
      <c r="I641" s="6" t="s">
        <v>64</v>
      </c>
      <c r="J641" s="7" t="s">
        <v>1470</v>
      </c>
    </row>
    <row r="642" customFormat="false" ht="15" hidden="false" customHeight="false" outlineLevel="0" collapsed="false">
      <c r="A642" s="6" t="s">
        <v>1453</v>
      </c>
      <c r="B642" s="6" t="n">
        <v>24</v>
      </c>
      <c r="C642" s="6" t="n">
        <v>1</v>
      </c>
      <c r="D642" s="6" t="s">
        <v>42</v>
      </c>
      <c r="E642" s="6" t="s">
        <v>49</v>
      </c>
      <c r="F642" s="6"/>
      <c r="G642" s="6" t="s">
        <v>1471</v>
      </c>
      <c r="H642" s="6" t="s">
        <v>49</v>
      </c>
      <c r="I642" s="6" t="s">
        <v>64</v>
      </c>
      <c r="J642" s="7" t="s">
        <v>1472</v>
      </c>
    </row>
    <row r="643" customFormat="false" ht="15" hidden="false" customHeight="false" outlineLevel="0" collapsed="false">
      <c r="A643" s="6" t="s">
        <v>1453</v>
      </c>
      <c r="B643" s="6" t="n">
        <v>25</v>
      </c>
      <c r="C643" s="6" t="n">
        <v>1</v>
      </c>
      <c r="D643" s="6" t="s">
        <v>42</v>
      </c>
      <c r="E643" s="6" t="s">
        <v>49</v>
      </c>
      <c r="F643" s="6"/>
      <c r="G643" s="6" t="s">
        <v>1473</v>
      </c>
      <c r="H643" s="6" t="s">
        <v>49</v>
      </c>
      <c r="I643" s="6" t="s">
        <v>51</v>
      </c>
      <c r="J643" s="7" t="s">
        <v>1474</v>
      </c>
    </row>
    <row r="644" customFormat="false" ht="15" hidden="false" customHeight="false" outlineLevel="0" collapsed="false">
      <c r="A644" s="6" t="s">
        <v>1453</v>
      </c>
      <c r="B644" s="6" t="n">
        <v>26</v>
      </c>
      <c r="C644" s="6" t="n">
        <v>1</v>
      </c>
      <c r="D644" s="6" t="s">
        <v>42</v>
      </c>
      <c r="E644" s="6" t="s">
        <v>49</v>
      </c>
      <c r="F644" s="6"/>
      <c r="G644" s="6" t="s">
        <v>1475</v>
      </c>
      <c r="H644" s="6" t="s">
        <v>49</v>
      </c>
      <c r="I644" s="6" t="s">
        <v>1476</v>
      </c>
      <c r="J644" s="7" t="s">
        <v>1477</v>
      </c>
    </row>
    <row r="645" customFormat="false" ht="15" hidden="false" customHeight="false" outlineLevel="0" collapsed="false">
      <c r="A645" s="6" t="s">
        <v>1453</v>
      </c>
      <c r="B645" s="6" t="n">
        <v>27</v>
      </c>
      <c r="C645" s="6" t="n">
        <v>1</v>
      </c>
      <c r="D645" s="6" t="s">
        <v>42</v>
      </c>
      <c r="E645" s="6" t="s">
        <v>49</v>
      </c>
      <c r="F645" s="6"/>
      <c r="G645" s="6" t="s">
        <v>1478</v>
      </c>
      <c r="H645" s="6" t="s">
        <v>49</v>
      </c>
      <c r="I645" s="6" t="s">
        <v>181</v>
      </c>
      <c r="J645" s="7" t="s">
        <v>1479</v>
      </c>
    </row>
    <row r="646" customFormat="false" ht="15" hidden="false" customHeight="false" outlineLevel="0" collapsed="false">
      <c r="A646" s="6" t="s">
        <v>1453</v>
      </c>
      <c r="B646" s="6" t="n">
        <v>28</v>
      </c>
      <c r="C646" s="6" t="n">
        <v>1</v>
      </c>
      <c r="D646" s="6" t="s">
        <v>42</v>
      </c>
      <c r="E646" s="6" t="s">
        <v>49</v>
      </c>
      <c r="F646" s="6"/>
      <c r="G646" s="6" t="s">
        <v>1480</v>
      </c>
      <c r="H646" s="6" t="s">
        <v>49</v>
      </c>
      <c r="I646" s="6" t="s">
        <v>610</v>
      </c>
      <c r="J646" s="7" t="s">
        <v>1481</v>
      </c>
    </row>
    <row r="647" customFormat="false" ht="15" hidden="false" customHeight="false" outlineLevel="0" collapsed="false">
      <c r="A647" s="6" t="s">
        <v>1453</v>
      </c>
      <c r="B647" s="6" t="n">
        <v>29</v>
      </c>
      <c r="C647" s="6" t="n">
        <v>1</v>
      </c>
      <c r="D647" s="6" t="s">
        <v>42</v>
      </c>
      <c r="E647" s="6" t="s">
        <v>49</v>
      </c>
      <c r="F647" s="6"/>
      <c r="G647" s="6" t="s">
        <v>591</v>
      </c>
      <c r="H647" s="6" t="s">
        <v>49</v>
      </c>
      <c r="I647" s="6" t="s">
        <v>44</v>
      </c>
      <c r="J647" s="7" t="s">
        <v>1482</v>
      </c>
    </row>
    <row r="648" customFormat="false" ht="15" hidden="false" customHeight="false" outlineLevel="0" collapsed="false">
      <c r="A648" s="6" t="s">
        <v>1453</v>
      </c>
      <c r="B648" s="6" t="n">
        <v>6</v>
      </c>
      <c r="C648" s="6" t="n">
        <v>2</v>
      </c>
      <c r="D648" s="6" t="s">
        <v>42</v>
      </c>
      <c r="E648" s="6" t="s">
        <v>273</v>
      </c>
      <c r="F648" s="6"/>
      <c r="G648" s="6" t="s">
        <v>1483</v>
      </c>
      <c r="H648" s="6" t="s">
        <v>275</v>
      </c>
      <c r="I648" s="6" t="s">
        <v>128</v>
      </c>
      <c r="J648" s="7" t="s">
        <v>1484</v>
      </c>
    </row>
    <row r="649" customFormat="false" ht="15" hidden="false" customHeight="false" outlineLevel="0" collapsed="false">
      <c r="A649" s="6" t="s">
        <v>1453</v>
      </c>
      <c r="B649" s="6" t="n">
        <v>7</v>
      </c>
      <c r="C649" s="6" t="n">
        <v>2</v>
      </c>
      <c r="D649" s="6" t="s">
        <v>42</v>
      </c>
      <c r="E649" s="6" t="s">
        <v>49</v>
      </c>
      <c r="F649" s="6"/>
      <c r="G649" s="6" t="s">
        <v>1224</v>
      </c>
      <c r="H649" s="6" t="s">
        <v>1225</v>
      </c>
      <c r="I649" s="6" t="s">
        <v>462</v>
      </c>
      <c r="J649" s="7" t="s">
        <v>1485</v>
      </c>
    </row>
    <row r="650" customFormat="false" ht="15" hidden="false" customHeight="false" outlineLevel="0" collapsed="false">
      <c r="A650" s="6" t="s">
        <v>1453</v>
      </c>
      <c r="B650" s="6" t="n">
        <v>8</v>
      </c>
      <c r="C650" s="6" t="n">
        <v>2</v>
      </c>
      <c r="D650" s="6" t="s">
        <v>32</v>
      </c>
      <c r="E650" s="6" t="s">
        <v>49</v>
      </c>
      <c r="F650" s="6"/>
      <c r="G650" s="6" t="s">
        <v>296</v>
      </c>
      <c r="H650" s="6" t="s">
        <v>49</v>
      </c>
      <c r="I650" s="6" t="s">
        <v>297</v>
      </c>
      <c r="J650" s="7" t="s">
        <v>1186</v>
      </c>
    </row>
    <row r="651" customFormat="false" ht="15" hidden="false" customHeight="false" outlineLevel="0" collapsed="false">
      <c r="A651" s="6" t="s">
        <v>1453</v>
      </c>
      <c r="B651" s="6" t="n">
        <v>9</v>
      </c>
      <c r="C651" s="6" t="n">
        <v>2</v>
      </c>
      <c r="D651" s="6" t="s">
        <v>32</v>
      </c>
      <c r="E651" s="6" t="s">
        <v>49</v>
      </c>
      <c r="F651" s="6"/>
      <c r="G651" s="6" t="s">
        <v>323</v>
      </c>
      <c r="H651" s="6" t="s">
        <v>324</v>
      </c>
      <c r="I651" s="6" t="s">
        <v>82</v>
      </c>
      <c r="J651" s="7" t="s">
        <v>325</v>
      </c>
    </row>
    <row r="652" customFormat="false" ht="15" hidden="false" customHeight="false" outlineLevel="0" collapsed="false">
      <c r="A652" s="6" t="s">
        <v>1453</v>
      </c>
      <c r="B652" s="6" t="n">
        <v>13</v>
      </c>
      <c r="C652" s="6" t="n">
        <v>2</v>
      </c>
      <c r="D652" s="6" t="s">
        <v>42</v>
      </c>
      <c r="E652" s="6" t="s">
        <v>49</v>
      </c>
      <c r="F652" s="6"/>
      <c r="G652" s="6" t="s">
        <v>303</v>
      </c>
      <c r="H652" s="6" t="s">
        <v>49</v>
      </c>
      <c r="I652" s="6" t="s">
        <v>297</v>
      </c>
      <c r="J652" s="7" t="s">
        <v>1486</v>
      </c>
    </row>
    <row r="653" customFormat="false" ht="15" hidden="false" customHeight="false" outlineLevel="0" collapsed="false">
      <c r="A653" s="6" t="s">
        <v>1453</v>
      </c>
      <c r="B653" s="6" t="n">
        <v>14</v>
      </c>
      <c r="C653" s="6" t="n">
        <v>2</v>
      </c>
      <c r="D653" s="6" t="s">
        <v>42</v>
      </c>
      <c r="E653" s="6" t="s">
        <v>49</v>
      </c>
      <c r="F653" s="6"/>
      <c r="G653" s="6" t="s">
        <v>1487</v>
      </c>
      <c r="H653" s="6" t="s">
        <v>49</v>
      </c>
      <c r="I653" s="6"/>
      <c r="J653" s="7" t="s">
        <v>1488</v>
      </c>
    </row>
    <row r="654" customFormat="false" ht="15" hidden="false" customHeight="false" outlineLevel="0" collapsed="false">
      <c r="A654" s="6" t="s">
        <v>1453</v>
      </c>
      <c r="B654" s="6" t="n">
        <v>15</v>
      </c>
      <c r="C654" s="6" t="n">
        <v>2</v>
      </c>
      <c r="D654" s="6" t="s">
        <v>32</v>
      </c>
      <c r="E654" s="6" t="s">
        <v>49</v>
      </c>
      <c r="F654" s="6"/>
      <c r="G654" s="6" t="s">
        <v>1489</v>
      </c>
      <c r="H654" s="6" t="s">
        <v>49</v>
      </c>
      <c r="I654" s="6" t="s">
        <v>462</v>
      </c>
      <c r="J654" s="7" t="s">
        <v>1490</v>
      </c>
    </row>
    <row r="655" customFormat="false" ht="15" hidden="false" customHeight="false" outlineLevel="0" collapsed="false">
      <c r="A655" s="6" t="s">
        <v>1453</v>
      </c>
      <c r="B655" s="6" t="n">
        <v>16</v>
      </c>
      <c r="C655" s="6" t="n">
        <v>2</v>
      </c>
      <c r="D655" s="6" t="s">
        <v>32</v>
      </c>
      <c r="E655" s="6" t="s">
        <v>49</v>
      </c>
      <c r="F655" s="6"/>
      <c r="G655" s="6" t="s">
        <v>569</v>
      </c>
      <c r="H655" s="6" t="s">
        <v>49</v>
      </c>
      <c r="I655" s="6" t="s">
        <v>101</v>
      </c>
      <c r="J655" s="7" t="s">
        <v>570</v>
      </c>
    </row>
    <row r="656" customFormat="false" ht="15" hidden="false" customHeight="false" outlineLevel="0" collapsed="false">
      <c r="A656" s="6" t="s">
        <v>1453</v>
      </c>
      <c r="B656" s="6" t="n">
        <v>18</v>
      </c>
      <c r="C656" s="6" t="n">
        <v>2</v>
      </c>
      <c r="D656" s="6" t="s">
        <v>42</v>
      </c>
      <c r="E656" s="6" t="s">
        <v>49</v>
      </c>
      <c r="F656" s="6"/>
      <c r="G656" s="6" t="s">
        <v>1491</v>
      </c>
      <c r="H656" s="6" t="s">
        <v>49</v>
      </c>
      <c r="I656" s="6" t="s">
        <v>44</v>
      </c>
      <c r="J656" s="7" t="s">
        <v>1492</v>
      </c>
    </row>
    <row r="657" customFormat="false" ht="15" hidden="false" customHeight="false" outlineLevel="0" collapsed="false">
      <c r="A657" s="6" t="s">
        <v>1453</v>
      </c>
      <c r="B657" s="6" t="n">
        <v>19</v>
      </c>
      <c r="C657" s="6" t="n">
        <v>2</v>
      </c>
      <c r="D657" s="6" t="s">
        <v>32</v>
      </c>
      <c r="E657" s="6" t="s">
        <v>273</v>
      </c>
      <c r="F657" s="6"/>
      <c r="G657" s="6" t="s">
        <v>999</v>
      </c>
      <c r="H657" s="6" t="s">
        <v>275</v>
      </c>
      <c r="I657" s="6" t="s">
        <v>181</v>
      </c>
      <c r="J657" s="7" t="s">
        <v>1319</v>
      </c>
    </row>
    <row r="658" customFormat="false" ht="15" hidden="false" customHeight="false" outlineLevel="0" collapsed="false">
      <c r="A658" s="6" t="s">
        <v>1453</v>
      </c>
      <c r="B658" s="6" t="n">
        <v>20</v>
      </c>
      <c r="C658" s="6" t="n">
        <v>2</v>
      </c>
      <c r="D658" s="6" t="s">
        <v>32</v>
      </c>
      <c r="E658" s="6" t="s">
        <v>273</v>
      </c>
      <c r="F658" s="6"/>
      <c r="G658" s="6" t="s">
        <v>1169</v>
      </c>
      <c r="H658" s="6" t="s">
        <v>275</v>
      </c>
      <c r="I658" s="6" t="s">
        <v>128</v>
      </c>
      <c r="J658" s="7" t="s">
        <v>1493</v>
      </c>
    </row>
    <row r="659" customFormat="false" ht="15" hidden="false" customHeight="false" outlineLevel="0" collapsed="false">
      <c r="A659" s="6" t="s">
        <v>1453</v>
      </c>
      <c r="B659" s="6" t="n">
        <v>21</v>
      </c>
      <c r="C659" s="6" t="n">
        <v>2</v>
      </c>
      <c r="D659" s="6" t="s">
        <v>42</v>
      </c>
      <c r="E659" s="6" t="s">
        <v>49</v>
      </c>
      <c r="F659" s="6"/>
      <c r="G659" s="6" t="s">
        <v>506</v>
      </c>
      <c r="H659" s="6" t="s">
        <v>49</v>
      </c>
      <c r="I659" s="6" t="s">
        <v>204</v>
      </c>
      <c r="J659" s="7" t="s">
        <v>1494</v>
      </c>
    </row>
    <row r="660" customFormat="false" ht="15" hidden="false" customHeight="false" outlineLevel="0" collapsed="false">
      <c r="A660" s="6" t="s">
        <v>1453</v>
      </c>
      <c r="B660" s="6" t="n">
        <v>26</v>
      </c>
      <c r="C660" s="6" t="n">
        <v>2</v>
      </c>
      <c r="D660" s="6" t="s">
        <v>42</v>
      </c>
      <c r="E660" s="6" t="s">
        <v>49</v>
      </c>
      <c r="F660" s="6"/>
      <c r="G660" s="6" t="s">
        <v>653</v>
      </c>
      <c r="H660" s="6" t="s">
        <v>49</v>
      </c>
      <c r="I660" s="6" t="s">
        <v>319</v>
      </c>
      <c r="J660" s="7" t="s">
        <v>1495</v>
      </c>
    </row>
    <row r="661" customFormat="false" ht="15" hidden="false" customHeight="false" outlineLevel="0" collapsed="false">
      <c r="A661" s="6" t="s">
        <v>1453</v>
      </c>
      <c r="B661" s="6" t="n">
        <v>27</v>
      </c>
      <c r="C661" s="6" t="n">
        <v>2</v>
      </c>
      <c r="D661" s="6" t="s">
        <v>42</v>
      </c>
      <c r="E661" s="6" t="s">
        <v>273</v>
      </c>
      <c r="F661" s="6"/>
      <c r="G661" s="6" t="s">
        <v>1496</v>
      </c>
      <c r="H661" s="6" t="s">
        <v>275</v>
      </c>
      <c r="I661" s="6" t="s">
        <v>40</v>
      </c>
      <c r="J661" s="7" t="s">
        <v>1497</v>
      </c>
    </row>
    <row r="662" customFormat="false" ht="15" hidden="false" customHeight="false" outlineLevel="0" collapsed="false">
      <c r="A662" s="6" t="s">
        <v>1453</v>
      </c>
      <c r="B662" s="6" t="n">
        <v>28</v>
      </c>
      <c r="C662" s="6" t="n">
        <v>2</v>
      </c>
      <c r="D662" s="6" t="s">
        <v>42</v>
      </c>
      <c r="E662" s="6" t="s">
        <v>49</v>
      </c>
      <c r="F662" s="6"/>
      <c r="G662" s="6" t="s">
        <v>510</v>
      </c>
      <c r="H662" s="6" t="s">
        <v>49</v>
      </c>
      <c r="I662" s="6" t="s">
        <v>297</v>
      </c>
      <c r="J662" s="7" t="s">
        <v>1498</v>
      </c>
    </row>
    <row r="663" customFormat="false" ht="15" hidden="false" customHeight="false" outlineLevel="0" collapsed="false">
      <c r="A663" s="6" t="s">
        <v>1453</v>
      </c>
      <c r="B663" s="6" t="n">
        <v>29</v>
      </c>
      <c r="C663" s="6" t="n">
        <v>2</v>
      </c>
      <c r="D663" s="6" t="s">
        <v>42</v>
      </c>
      <c r="E663" s="6" t="s">
        <v>1499</v>
      </c>
      <c r="F663" s="6"/>
      <c r="G663" s="6" t="s">
        <v>1500</v>
      </c>
      <c r="H663" s="6" t="s">
        <v>1501</v>
      </c>
      <c r="I663" s="6" t="s">
        <v>1502</v>
      </c>
      <c r="J663" s="7" t="s">
        <v>1503</v>
      </c>
    </row>
    <row r="664" customFormat="false" ht="15" hidden="false" customHeight="false" outlineLevel="0" collapsed="false">
      <c r="A664" s="6" t="s">
        <v>1453</v>
      </c>
      <c r="B664" s="6" t="n">
        <v>30</v>
      </c>
      <c r="C664" s="6" t="n">
        <v>2</v>
      </c>
      <c r="D664" s="6" t="s">
        <v>42</v>
      </c>
      <c r="E664" s="6" t="s">
        <v>49</v>
      </c>
      <c r="F664" s="6" t="s">
        <v>459</v>
      </c>
      <c r="G664" s="6" t="s">
        <v>559</v>
      </c>
      <c r="H664" s="6" t="s">
        <v>560</v>
      </c>
      <c r="I664" s="6" t="s">
        <v>561</v>
      </c>
      <c r="J664" s="7" t="s">
        <v>1504</v>
      </c>
    </row>
    <row r="665" customFormat="false" ht="15" hidden="false" customHeight="false" outlineLevel="0" collapsed="false">
      <c r="A665" s="6" t="s">
        <v>1453</v>
      </c>
      <c r="B665" s="6" t="n">
        <v>31</v>
      </c>
      <c r="C665" s="6" t="n">
        <v>2</v>
      </c>
      <c r="D665" s="6" t="s">
        <v>42</v>
      </c>
      <c r="E665" s="6" t="s">
        <v>49</v>
      </c>
      <c r="F665" s="6" t="s">
        <v>459</v>
      </c>
      <c r="G665" s="6" t="s">
        <v>495</v>
      </c>
      <c r="H665" s="6" t="s">
        <v>496</v>
      </c>
      <c r="I665" s="6" t="s">
        <v>497</v>
      </c>
      <c r="J665" s="7" t="s">
        <v>1505</v>
      </c>
    </row>
    <row r="666" customFormat="false" ht="15" hidden="false" customHeight="false" outlineLevel="0" collapsed="false">
      <c r="A666" s="6" t="s">
        <v>1453</v>
      </c>
      <c r="B666" s="6" t="n">
        <v>32</v>
      </c>
      <c r="C666" s="6" t="n">
        <v>2</v>
      </c>
      <c r="D666" s="6" t="s">
        <v>42</v>
      </c>
      <c r="E666" s="6" t="s">
        <v>49</v>
      </c>
      <c r="F666" s="6"/>
      <c r="G666" s="6" t="s">
        <v>1506</v>
      </c>
      <c r="H666" s="6" t="s">
        <v>1507</v>
      </c>
      <c r="I666" s="6" t="s">
        <v>1508</v>
      </c>
      <c r="J666" s="7" t="s">
        <v>1509</v>
      </c>
    </row>
    <row r="667" customFormat="false" ht="15" hidden="false" customHeight="false" outlineLevel="0" collapsed="false">
      <c r="A667" s="6" t="s">
        <v>1453</v>
      </c>
      <c r="B667" s="6" t="n">
        <v>33</v>
      </c>
      <c r="C667" s="6" t="n">
        <v>2</v>
      </c>
      <c r="D667" s="6" t="s">
        <v>42</v>
      </c>
      <c r="E667" s="6" t="s">
        <v>49</v>
      </c>
      <c r="F667" s="6"/>
      <c r="G667" s="6" t="s">
        <v>1510</v>
      </c>
      <c r="H667" s="6" t="s">
        <v>1511</v>
      </c>
      <c r="I667" s="6" t="s">
        <v>566</v>
      </c>
      <c r="J667" s="7" t="s">
        <v>1512</v>
      </c>
    </row>
  </sheetData>
  <hyperlinks>
    <hyperlink ref="J2" r:id="rId1" display="https://www.amazon.in/dp/B0DBGP48NW"/>
    <hyperlink ref="J3" r:id="rId2" display="https://www.amazon.in/dp/B0BW8TXJJ2"/>
    <hyperlink ref="J4" r:id="rId3" display="https://www.amazon.in/boAt-Nirvana-Ion-ANC-Cancellation/dp/B0CF5QFH77/ref=sr_1_3"/>
    <hyperlink ref="J5" r:id="rId4" display="https://www.amazon.in/Nirvana-Battery-Bluetooth-Wireless-Earphones/dp/B0FP9DP8FH/ref=sr_1_4"/>
    <hyperlink ref="J6" r:id="rId5" display="https://www.amazon.in/dp/B0DS2Y94LS"/>
    <hyperlink ref="J7" r:id="rId6" display="https://www.amazon.in/dp/B0D4QNLF6Y"/>
    <hyperlink ref="J8" r:id="rId7" display="https://www.amazon.in/OnePlus-Playback-Translation-Dual-Device-Connectivity/dp/B0FMDL81GS/ref=sr_1_7"/>
    <hyperlink ref="J9" r:id="rId8" display="https://www.amazon.in/boAt-Nirvana-Crystl-White-Lustre/dp/B0DGTVLKPT/ref=sr_1_8"/>
    <hyperlink ref="J10" r:id="rId9" display="https://www.amazon.in/dp/B0FN7J4997"/>
    <hyperlink ref="J11" r:id="rId10" display="https://www.amazon.in/dp/B0H6B1L8N1"/>
    <hyperlink ref="J12" r:id="rId11" display="https://www.amazon.in/boAt-Nirvana-TWS-Bluetooth-Earphones/dp/B0DQKY3R84/ref=sr_1_11"/>
    <hyperlink ref="J13" r:id="rId12" display="https://www.amazon.in/boAt-Nirvana-Space-Multipoint-Connectivity/dp/B0D4VN3S8T/ref=sr_1_12"/>
    <hyperlink ref="J14" r:id="rId13" display="https://www.amazon.in/boAt-Tracking-Bluetooth-Wireless-Earphones/dp/B0DBHBZZTN/ref=sr_1_13"/>
    <hyperlink ref="J15" r:id="rId14" display="https://www.amazon.in/Sounce-Earphone-Compatible-Shock-Absorbing-Protective/dp/B0CJXX6QY2/ref=sr_1_14"/>
    <hyperlink ref="J16" r:id="rId15" display="https://www.amazon.in/boAt-Feedback-Bluetooth-Wireless-Earphones/dp/B0G2RZZF9S/ref=sr_1_15"/>
    <hyperlink ref="J17" r:id="rId16" display="https://www.amazon.in/boAt-Nirvana-Zenith-Pro-Bluetooth/dp/B0DXPL5XHF/ref=sr_1_16"/>
    <hyperlink ref="J18" r:id="rId17" display="https://www.amazon.in/boAt-Airdopes-Bluetooth-Wireless-Earphones/dp/B0F5BDJG4C/ref=sr_1_17"/>
    <hyperlink ref="J19" r:id="rId18" display="https://www.amazon.in/boAt-Cancelling-Bluetooth-Headphones-Immersive/dp/B09MTQ23X4/ref=sr_1_18"/>
    <hyperlink ref="J20" r:id="rId19" display="https://www.amazon.in/realme-Wireless-Earbuds-Dynamic-Playback/dp/B0FBR6HGXM/ref=sr_1_19"/>
    <hyperlink ref="J21" r:id="rId20" display="https://www.amazon.in/boAt-Airdopes-Multidevice-Bluetooth-Earphones/dp/B0F8BWZSFD/ref=sr_1_20"/>
    <hyperlink ref="J22" r:id="rId21" display="https://www.amazon.in/boAt-Cancelling-Bluetooth-Headphones-Compatibility/dp/B09MTR7NRM/ref=sr_1_21"/>
    <hyperlink ref="J23" r:id="rId22" display="https://www.amazon.in/boAt-Adaptive-AI-ENxTM-Bluetooth-Headphones/dp/B0GXB8M9ZV/ref=sr_1_22"/>
    <hyperlink ref="J24" r:id="rId23" display="https://www.amazon.in/dp/B0CQJZD55X"/>
    <hyperlink ref="J25" r:id="rId24" display="https://www.amazon.in/dp/B0D4QLT8WG"/>
    <hyperlink ref="J26" r:id="rId25" display="https://www.amazon.in/boAt-Adaptive-Playtime-Bluetooth-Headphones/dp/B0GXBFBFYV/ref=sr_1_20"/>
    <hyperlink ref="J27" r:id="rId26" display="https://www.amazon.in/boAt-Tracking-Adaptive-Bluetooth-Earphones/dp/B0FC2XZ2JJ/ref=sr_1_21"/>
    <hyperlink ref="J28" r:id="rId27" display="https://www.amazon.in/dp/B0F1Y8MDHM"/>
    <hyperlink ref="J29" r:id="rId28" display="https://www.amazon.in/boAt-Technology-Connectivity-Detection-Bluetooth/dp/B0H1X2CN2K/ref=sr_1_23"/>
    <hyperlink ref="J30" r:id="rId29" display="https://www.amazon.in/boAt-Nirvana-Iris-Cancellation-Hearables/dp/B0DN1HT526/ref=sr_1_24"/>
    <hyperlink ref="J31" r:id="rId30" display="https://www.amazon.in/Rockerz-Bluetooth-Neckband-Wireless-Earphones/dp/B0FM37T5JX/ref=sr_1_25"/>
    <hyperlink ref="J32" r:id="rId31" display="https://www.amazon.in/boAt-Cancellation-Multipoint-Connectivity-Bluetooth/dp/B0FB3J8M6J/ref=sr_1_26"/>
    <hyperlink ref="J33" r:id="rId32" display="https://www.amazon.in/boAt-Bluetooth-Headphones-Wireless-Headphone/dp/B0FG2QT7H2/ref=sr_1_27"/>
    <hyperlink ref="J34" r:id="rId33" display="https://www.amazon.in/boAt-Airdopes-Powerful-Playback-Bluetooth/dp/B0GXB9M2HW/ref=sr_1_28"/>
    <hyperlink ref="J35" r:id="rId34" display="https://www.amazon.in/Playback-Bluetooth-Headphones-Wireless-Headphone/dp/B0FW5B3JCZ/ref=sr_1_29"/>
    <hyperlink ref="J36" r:id="rId35" display="https://www.amazon.in/boAt-Airdopes-ProClip-Conduction-Feather-Light/dp/B0GZN7C6X8/ref=sr_1_30"/>
    <hyperlink ref="J37" r:id="rId36" display="https://www.amazon.in/boAt-Rockerz-Assistant-Wireless-Headphones/dp/B0GX9ZRTM6/ref=sr_1_31"/>
    <hyperlink ref="J38" r:id="rId37" display="https://www.amazon.in/boAt-Airdopes-Bluetooth-Wireless-Earphones/dp/B0FC2Y3XGV/ref=sr_1_32"/>
    <hyperlink ref="J39" r:id="rId38" display="https://www.amazon.in/CrossBeats-Hertz-Earphones-Bluetooth-Cancellation/dp/B0G6D8R6XM/ref=sr_1_33"/>
    <hyperlink ref="J40" r:id="rId39" display="https://www.amazon.in/Noise-Truly-Wireless-Bluetooth-Earbuds/dp/B0DNZTC6K7/ref=sr_1_34"/>
    <hyperlink ref="J41" r:id="rId40" display="https://www.amazon.in/OnePlus-Wireless-Bluetooth-Cancellation-Harmonic/dp/B0DFQ1R3W4/ref=sr_1_35"/>
    <hyperlink ref="J42" r:id="rId41" display="https://www.amazon.in/Samsung-Enabled-Enriched-Battery-Controls/dp/B0FDGVNSLH/ref=sr_1_36"/>
    <hyperlink ref="J43" r:id="rId42" display="https://www.amazon.in/dp/B0FN7J4997"/>
    <hyperlink ref="J44" r:id="rId43" display="https://www.amazon.in/dp/B0D4QNLF6Y"/>
    <hyperlink ref="J45" r:id="rId44" display="https://www.amazon.in/Noise-Launched-Wireless-Metallic-Instacharge/dp/B0FN7J4NWT/ref=sr_1_3"/>
    <hyperlink ref="J46" r:id="rId45" display="https://www.amazon.in/OnePlus-Playback-Translation-Dual-Device-Connectivity/dp/B0FMDLD86P/ref=sr_1_4"/>
    <hyperlink ref="J47" r:id="rId46" display="https://www.amazon.in/dp/B0DK979YJ7"/>
    <hyperlink ref="J48" r:id="rId47" display="https://www.amazon.in/dp/B0G2CD21GR"/>
    <hyperlink ref="J49" r:id="rId48" display="https://www.amazon.in/Noise-Adaptive-Spatial-Tracking-Pairing/dp/B0G2C8MR7L/ref=sr_1_7"/>
    <hyperlink ref="J50" r:id="rId49" display="https://www.amazon.in/Noise-Wireless-Metallic-Playtime-Instacharge/dp/B0D4QLT8WG/ref=sr_1_8"/>
    <hyperlink ref="J51" r:id="rId50" display="https://www.amazon.in/dp/B0DCNWN8NZ"/>
    <hyperlink ref="J52" r:id="rId51" display="https://www.amazon.in/dp/B0DMZRJ939"/>
    <hyperlink ref="J53" r:id="rId52" display="https://www.amazon.in/Noise-Launched-Wireless-Playtime-Instacharge/dp/B0FTZFYC1V/ref=sr_1_11"/>
    <hyperlink ref="J54" r:id="rId53" display="https://www.amazon.in/Noise-Truly-Wireless-Bluetooth-Earbuds/dp/B0DNZPWVM7/ref=sr_1_12"/>
    <hyperlink ref="J55" r:id="rId54" display="https://www.amazon.in/Noise-Wireless-Earbuds-Playtime-Instacharge/dp/B0GWDFZPN6/ref=sr_1_13"/>
    <hyperlink ref="J56" r:id="rId55" display="https://www.amazon.in/Noise-Launched-Connect-Wireless-Playtime/dp/B0FZ9YLWP1/ref=sr_1_14"/>
    <hyperlink ref="J57" r:id="rId56" display="https://www.amazon.in/Noise-Spatial-Playtime-Instacharge-Metallic/dp/B0GWD513TF/ref=sr_1_15"/>
    <hyperlink ref="J58" r:id="rId57" display="https://www.amazon.in/Noise-Wireless-Earbuds-Playtime-Instacharge/dp/B0DS2SG8YP/ref=sr_1_16"/>
    <hyperlink ref="J59" r:id="rId58" display="https://www.amazon.in/Noise-Wireless-Bluetooth-Playtime-Instacharge/dp/B0DS2Y94LS/ref=sr_1_17"/>
    <hyperlink ref="J60" r:id="rId59" display="https://www.amazon.in/Noise-Launched-Wireless-Playtime-Transparent/dp/B0FHW7PX1N/ref=sr_1_18"/>
    <hyperlink ref="J61" r:id="rId60" display="https://www.amazon.in/Noise-Launched-Wireless-Playtime-Instacharge/dp/B0CQJXC3SP/ref=sr_1_19"/>
    <hyperlink ref="J62" r:id="rId61" display="https://www.amazon.in/realme-Bluetooth-Earbuds-Playback-Charging/dp/B0DZCRYG7R/ref=sr_1_20"/>
    <hyperlink ref="J63" r:id="rId62" display="https://www.amazon.in/Noise-Wireless-Earbuds-Playtime-Resistant/dp/B0GCNNWM13/ref=sr_1_21"/>
    <hyperlink ref="J64" r:id="rId63" display="https://www.amazon.in/OnePlus-Wireless-Bluetooth-Cancellation-Charging/dp/B0D7HZ3KK9/ref=sr_1_22"/>
    <hyperlink ref="J65" r:id="rId64" display="https://www.amazon.in/dp/B0G2CD1LHF"/>
    <hyperlink ref="J66" r:id="rId65" display="https://www.amazon.in/OnePlus-Nord-E518A-Raven-Black/dp/B0GQTSHLLR/ref=sr_1_20"/>
    <hyperlink ref="J67" r:id="rId66" display="https://www.amazon.in/Noise-Wireless-Earbuds-Playtime-Latency/dp/B0FZ9WRMLN/ref=sr_1_21"/>
    <hyperlink ref="J68" r:id="rId67" display="https://www.amazon.in/dp/B0HCCPSMC7"/>
    <hyperlink ref="J69" r:id="rId68" display="https://www.amazon.in/dp/B0H9D2WPCJ"/>
    <hyperlink ref="J70" r:id="rId69" display="https://www.amazon.in/Noise-Launched-Wireless-Playtime-Instacharge/dp/B0FTZD16TR/ref=sr_1_24"/>
    <hyperlink ref="J71" r:id="rId70" display="https://www.amazon.in/GOBOULT-Wireless-Playtime-Bluetooth-Earphone/dp/B0DZ1116TL/ref=sr_1_25"/>
    <hyperlink ref="J72" r:id="rId71" display="https://www.amazon.in/dp/B0BQ2LDNMQ"/>
    <hyperlink ref="J73" r:id="rId72" display="https://www.amazon.in/dp/B0H9S91SLY"/>
    <hyperlink ref="J74" r:id="rId73" display="https://www.amazon.in/GOBOULT-Playtime-Continues-Bluetooth-Earbuds/dp/B0G43FRQBL/ref=sr_1_28"/>
    <hyperlink ref="J75" r:id="rId74" display="https://www.amazon.in/Noise-Launched-Wireless-Earbuds-Playtime/dp/B0GSZV3415/ref=sr_1_29"/>
    <hyperlink ref="J76" r:id="rId75" display="https://www.amazon.in/dp/B0H9DBVTYX"/>
    <hyperlink ref="J77" r:id="rId76" display="https://www.amazon.in/dp/B0CP9H5J1W"/>
    <hyperlink ref="J78" r:id="rId77" display="https://www.amazon.in/GOBOULT-Playtime-Cancellation-Bluetooth-Wireless/dp/B0GRV6L413/ref=sr_1_32"/>
    <hyperlink ref="J79" r:id="rId78" display="https://www.amazon.in/boAt-Nirvana-Ion-ANC-Cancellation/dp/B0CF5PNVZH/ref=sr_1_33"/>
    <hyperlink ref="J80" r:id="rId79" display="https://www.amazon.in/Noise-Wireless-Bluetooth-30-Hours-Instacharge/dp/B09Y5LL6P4/ref=sr_1_34"/>
    <hyperlink ref="J81" r:id="rId80" display="https://www.amazon.in/Noise-Truly-Wireless-Bluetooth-Earbuds/dp/B0CYPZLV8C/ref=sr_1_35"/>
    <hyperlink ref="J82" r:id="rId81" display="https://www.amazon.in/Original-Bluetooth-Earbuds-Lightweight-Controls/dp/B0H8J2BP95/ref=sr_1_36"/>
    <hyperlink ref="J83" r:id="rId82" display="https://www.amazon.in/Noise-Bluetooth-Adaptive-Immersive-Playtime/dp/B0DK96DPY6/ref=sr_1_37"/>
    <hyperlink ref="J84" r:id="rId83" display="https://www.amazon.in/GOBOULT-Launched-Playtime-Bluetooth-Wireless/dp/B0H6B3HXXG/ref=sr_1_38"/>
    <hyperlink ref="J85" r:id="rId84" display="https://www.amazon.in/Noise-Launched-Wireless-Playtime-Instacharge/dp/B0CYPYZF64/ref=sr_1_39"/>
    <hyperlink ref="J86" r:id="rId85" display="https://www.amazon.in/Noise-Wireless-Earbuds-Playtime-Equalizer/dp/B0C23JN62Z/ref=sr_1_40"/>
    <hyperlink ref="J87" r:id="rId86" display="https://www.amazon.in/boAt-Airdopes-Powerful-Playback-Bluetooth/dp/B0GXBBD73Q/ref=sr_1_41"/>
    <hyperlink ref="J88" r:id="rId87" display="https://www.amazon.in/dp/B0F491YC5Q"/>
    <hyperlink ref="J89" r:id="rId88" display="https://www.amazon.in/dp/B0F992RNJF"/>
    <hyperlink ref="J90" r:id="rId89" display="https://www.amazon.in/Premium-Insights-Advanced-Processor-Sterling/dp/B0FLY818W5/ref=sr_1_4"/>
    <hyperlink ref="J91" r:id="rId90" display="https://www.amazon.in/dp/B0CP9PLWTF"/>
    <hyperlink ref="J92" r:id="rId91" display="https://www.amazon.in/dp/B0BN1ZG1QZ"/>
    <hyperlink ref="J93" r:id="rId92" display="https://www.amazon.in/Chrome-Endeavour-Insights-Processor-Watchface/dp/B0FLY7SKD2/ref=sr_1_7"/>
    <hyperlink ref="J94" r:id="rId93" display="https://www.amazon.in/boAt-smartwatch-Display-Personalized-Functional/dp/B0DSFQ2RLV/ref=sr_1_8"/>
    <hyperlink ref="J95" r:id="rId94" display="https://www.amazon.in/dp/B0GMK1YDVZ"/>
    <hyperlink ref="J96" r:id="rId95" display="https://www.amazon.in/dp/B0FNCPKFP6"/>
    <hyperlink ref="J97" r:id="rId96" display="https://www.amazon.in/Noise-Launched-Functional-Stainless-Transition/dp/B0D6N5V9PY/ref=sr_1_11"/>
    <hyperlink ref="J98" r:id="rId97" display="https://www.amazon.in/boAt-Ultima-Ember-Smartwatch-Personalized/dp/B0DSFQ434R/ref=sr_1_12"/>
    <hyperlink ref="J99" r:id="rId98" display="https://www.amazon.in/boAt-Advanced-Bluetooth-Functional-Monitoring/dp/B0CF1NTL6M/ref=sr_1_14"/>
    <hyperlink ref="J100" r:id="rId99" display="https://www.amazon.in/Noise-Launched-Endeavour-Display-Calling/dp/B0CG1T39PB/ref=sr_1_16"/>
    <hyperlink ref="J101" r:id="rId100" display="https://www.amazon.in/Fastrack-Commands-Metallic-Functional-multisport/dp/B0FLYHD5MD/ref=sr_1_17"/>
    <hyperlink ref="J102" r:id="rId101" display="https://www.amazon.in/Fire-Boltt-Phoenix-Smartwatch-Display-Bluetooth/dp/B0GH878CBZ/ref=sr_1_18"/>
    <hyperlink ref="J103" r:id="rId102" display="https://www.amazon.in/Redmi-Watch-Lite-Bluetooth-Reduction/dp/B0DH2SRQ3L/ref=sr_1_19"/>
    <hyperlink ref="J104" r:id="rId103" display="https://www.amazon.in/Noise-Unlimited-Display-Functional-Metallic/dp/B0GMJYSSRH/ref=sr_1_20"/>
    <hyperlink ref="J105" r:id="rId104" display="https://www.amazon.in/Noise-NoiseFit-Endeavour-Smartwatch-Silver/dp/B0DQCSHCQ6/ref=sr_1_21"/>
    <hyperlink ref="J106" r:id="rId105" display="https://www.amazon.in/Noise-Smartwatch-Calling-Tracking-Monitoring/dp/B0CQ4HSR2D/ref=sr_1_22"/>
    <hyperlink ref="J107" r:id="rId106" display="https://www.amazon.in/dp/B0BN1X7ZVT"/>
    <hyperlink ref="J108" r:id="rId107" display="https://www.amazon.in/GOBOULT-Saber-Functional-Watchfaces-Brightness/dp/B0G3PVS17V/ref=sr_1_20"/>
    <hyperlink ref="J109" r:id="rId108" display="https://www.amazon.in/CrossBeats-Everest-Display-Bluetooth-Smartwatch/dp/B0F8GP4FL1/ref=sr_1_21"/>
    <hyperlink ref="J110" r:id="rId109" display="https://www.amazon.in/HELLOSCREEN-Boat-Chrome-Horizon-Smartwatch/dp/B0GQQLW352/ref=sr_1_22"/>
    <hyperlink ref="J111" r:id="rId110" display="https://www.amazon.in/PROTECTERR-Smartwatch-Protector-Chrome-Horizon/dp/B0GTZY4H8T/ref=sr_1_23"/>
    <hyperlink ref="J112" r:id="rId111" display="https://www.amazon.in/TELTREK-Screenguard-Compatible-Chrome-Horizon/dp/B0FYFP7WLF/ref=sr_1_24"/>
    <hyperlink ref="J113" r:id="rId112" display="https://www.amazon.in/ZINGTEL-Compatible-BoAt-Chrome-Horizon/dp/B0G35LCBM8/ref=sr_1_25"/>
    <hyperlink ref="J114" r:id="rId113" display="https://www.amazon.in/Wisely-Boat-Chrome-Horizon-Anti-Scratch/dp/B0FCY78Y66/ref=sr_1_26"/>
    <hyperlink ref="J115" r:id="rId114" display="https://www.amazon.in/AONES-Leather-Silicone-Compatible-Smartwatch/dp/B0FBX6RRGH/ref=sr_1_27"/>
    <hyperlink ref="J116" r:id="rId115" display="https://www.amazon.in/AONES-Magnetic-Silicone-Compatible-Smartwatch/dp/B0FC1R4J3Z/ref=sr_1_28"/>
    <hyperlink ref="J117" r:id="rId116" display="https://www.amazon.in/AONES-Magnetic-Silicone-Compatible-Smartwatch/dp/B0FC1P2H4N/ref=sr_1_29"/>
    <hyperlink ref="J118" r:id="rId117" display="https://www.amazon.in/AONES-Magnetic-Silicone-Compatible-Smartwatch/dp/B0FC1P14N1/ref=sr_1_30"/>
    <hyperlink ref="J119" r:id="rId118" display="https://www.amazon.in/AONES-Magnetic-Silicone-Compatible-Smartwatch/dp/B0FC1RTCYK/ref=sr_1_31"/>
    <hyperlink ref="J120" r:id="rId119" display="https://www.amazon.in/AONES-Silicone-Compatible-Horizon-Smartwatch/dp/B0FC1JJXQB/ref=sr_1_32"/>
    <hyperlink ref="J121" r:id="rId120" display="https://www.amazon.in/AONES-Silicone-Magnetic-Compatible-Smartwatch/dp/B0FD35ZGC4/ref=sr_1_33"/>
    <hyperlink ref="J122" r:id="rId121" display="https://www.amazon.in/AONES-Silicone-Compatible-Horizon-Smartwatch/dp/B0FC1WRY8T/ref=sr_1_34"/>
    <hyperlink ref="J123" r:id="rId122" display="https://www.amazon.in/YODI-Parasuit-Compatible-Smartwatch-Accessories/dp/B0FRY2YHDD/ref=sr_1_35"/>
    <hyperlink ref="J124" r:id="rId123" display="https://www.amazon.in/dp/B0DFYL4635"/>
    <hyperlink ref="J125" r:id="rId124" display="https://www.amazon.in/dp/B0F992RNJF"/>
    <hyperlink ref="J126" r:id="rId125" display="https://www.amazon.in/boAt-Advanced-Bluetooth-Functional-Monitoring/dp/B0CF1NTL6M/ref=sr_1_3"/>
    <hyperlink ref="J127" r:id="rId126" display="https://www.amazon.in/Discovery-Metallic-Animated-Watchfaces-Bluetooth/dp/B0G1T2GZP9/ref=sr_1_4"/>
    <hyperlink ref="J128" r:id="rId127" display="https://www.amazon.in/dp/B0GH7Q2SH2"/>
    <hyperlink ref="J129" r:id="rId128" display="https://www.amazon.in/dp/B0F493G266"/>
    <hyperlink ref="J130" r:id="rId129" display="https://www.amazon.in/boAt-Lunar-Discovery-Navigation-Bluetooth/dp/B0DFYL5DX5/ref=sr_1_7"/>
    <hyperlink ref="J131" r:id="rId130" display="https://www.amazon.in/Discovery-Emergency-Functional-Multiple-Tracking/dp/B0FLK54XSP/ref=sr_1_8"/>
    <hyperlink ref="J132" r:id="rId131" display="https://www.amazon.in/dp/B0DKBZYXZY"/>
    <hyperlink ref="J133" r:id="rId132" display="https://www.amazon.in/dp/B0C496V772"/>
    <hyperlink ref="J134" r:id="rId133" display="https://www.amazon.in/Fastrack-Jupiter-Display-Charging-Calling/dp/B0GLPF5GBP/ref=sr_1_11"/>
    <hyperlink ref="J135" r:id="rId134" display="https://www.amazon.in/boAt-Metallic-Tracking-Bluetooth-Emergency/dp/B0H5Q7JPHP/ref=sr_1_12"/>
    <hyperlink ref="J136" r:id="rId135" display="https://www.amazon.in/Fire-Boltt-Stainless-Bluetooth-Monitoring-Assistant/dp/B0F2YZ22LK/ref=sr_1_14"/>
    <hyperlink ref="J137" r:id="rId136" display="https://www.amazon.in/Fire-Boltt-Bluetooth-Smartwatch-Assistant-Monitoring/dp/B0BRKXXPZ7/ref=sr_1_15"/>
    <hyperlink ref="J138" r:id="rId137" display="https://www.amazon.in/Noise-Launched-Bluetooth-Calling-Tracking/dp/B0BJ72WZQ7/ref=sr_1_16"/>
    <hyperlink ref="J139" r:id="rId138" display="https://www.amazon.in/boAt-smartwatch-Display-Personalized-Functional/dp/B0DSFQ2RLV/ref=sr_1_17"/>
    <hyperlink ref="J140" r:id="rId139" display="https://www.amazon.in/boAt-Smartwatch-Brightness-Personalized-Functional/dp/B0H2HGLNQP/ref=sr_1_18"/>
    <hyperlink ref="J141" r:id="rId140" display="https://www.amazon.in/boAt-Metallic-Tracking-Bluetooth-Emergency/dp/B0H5QHD6VY/ref=sr_1_19"/>
    <hyperlink ref="J142" r:id="rId141" display="https://www.amazon.in/Fire-Boltt-Bluetooth-Calling-Smartwatch-Assistance/dp/B0BY2R74YW/ref=sr_1_20"/>
    <hyperlink ref="J143" r:id="rId142" display="https://www.amazon.in/boAt-Smartwatch-Charging-Functional-Tracking/dp/B0GX9F6XY6/ref=sr_1_21"/>
    <hyperlink ref="J144" r:id="rId143" display="https://www.amazon.in/boAt-Metallic-Tracking-Bluetooth-Emergency/dp/B0H5QGRDX8/ref=sr_1_22"/>
    <hyperlink ref="J145" r:id="rId144" display="https://www.amazon.in/dp/B0B3RRWSF6"/>
    <hyperlink ref="J146" r:id="rId145" display="https://www.amazon.in/dp/B0CMF25TKG"/>
    <hyperlink ref="J147" r:id="rId146" display="https://www.amazon.in/dp/B0DW9B76RV"/>
    <hyperlink ref="J148" r:id="rId147" display="https://www.amazon.in/boAt-Infinity-Maximum-Capacity-Functional/dp/B0FBMGHL22/ref=sr_1_20"/>
    <hyperlink ref="J149" r:id="rId148" display="https://www.amazon.in/boAt-Embrace-Functional-Metal-Built-Animated/dp/B0CM38JVX4/ref=sr_1_21"/>
    <hyperlink ref="J150" r:id="rId149" display="https://www.amazon.in/boAt-Smartwatch-Immersive-Functional-Monitoring/dp/B0GPDRBRBX/ref=sr_1_22"/>
    <hyperlink ref="J151" r:id="rId150" display="https://www.amazon.in/AuraVue-Display-Brightness-Premium-Bluetooth/dp/B0G4MFK5MD/ref=sr_1_23"/>
    <hyperlink ref="J152" r:id="rId151" display="https://www.amazon.in/boAt-Lunar-Discovery-Emergency-Functional/dp/B0FLK5LQ6X/ref=sr_1_24"/>
    <hyperlink ref="J153" r:id="rId152" display="https://www.amazon.in/boAt-Brightness-Monitoring-Tracking-Smartwatch/dp/B0GPDV4GGT/ref=sr_1_25"/>
    <hyperlink ref="J154" r:id="rId153" display="https://www.amazon.in/boAt-Enigma-Radiant-Functional-Breathing/dp/B0DFYLCMZF/ref=sr_1_26"/>
    <hyperlink ref="J155" r:id="rId154" display="https://www.amazon.in/boAt-Auto-Activity-Detection-Advanced-Bluetooth/dp/B0F491YC5Q/ref=sr_1_27"/>
    <hyperlink ref="J156" r:id="rId155" display="https://www.amazon.in/boAt-Advanced-sensors-Battery-Display/dp/B0FBMDRLD2/ref=sr_1_28"/>
    <hyperlink ref="J157" r:id="rId156" display="https://www.amazon.in/boAt-Smartwatch-Display-Brightness-Premium/dp/B0H1J1ZDVW/ref=sr_1_29"/>
    <hyperlink ref="J158" r:id="rId157" display="https://www.amazon.in/Noise-Launched-Display-Calling-Battery/dp/B0CG1Y3336/ref=sr_1_30"/>
    <hyperlink ref="J159" r:id="rId158" display="https://www.amazon.in/Premium-Display-Insights-Advanced-Processor/dp/B0FLY8HT7H/ref=sr_1_31"/>
    <hyperlink ref="J160" r:id="rId159" display="https://www.amazon.in/Noise-ColorFit-Pulse-Smartwatch-Mocha/dp/B0D4ZFTLPX/ref=sr_1_32"/>
    <hyperlink ref="J161" r:id="rId160" display="https://www.amazon.in/Fire-Boltt-Bluetooth-Wireless-Charging-Assistant/dp/B0F2Z1Q4W4/ref=sr_1_33"/>
    <hyperlink ref="J162" r:id="rId161" display="https://www.amazon.in/Enigma-Brightness-Emergency-Wellness-Tracking/dp/B0FLXJLZR1/ref=sr_1_34"/>
    <hyperlink ref="J163" r:id="rId162" display="https://www.amazon.in/Noise-Vibrant-Bluetooth-Metallic-Assistance/dp/B0DNQQ67JY/ref=sr_1_35"/>
    <hyperlink ref="J164" r:id="rId163" display="https://www.amazon.in/dp/B0GMKL443R"/>
    <hyperlink ref="J165" r:id="rId164" display="https://www.amazon.in/dp/B0D7QKQMZP"/>
    <hyperlink ref="J166" r:id="rId165" display="https://www.amazon.in/Noise-Launched-Bluetooth-Detection-Smartwatch/dp/B0CQRQK8L8/ref=sr_1_3"/>
    <hyperlink ref="J167" r:id="rId166" display="https://www.amazon.in/Noise-Display-Functional-Premium-Metallic/dp/B0D6GK2871/ref=sr_1_4"/>
    <hyperlink ref="J168" r:id="rId167" display="https://www.amazon.in/dp/B0FNCQ7MLT"/>
    <hyperlink ref="J169" r:id="rId168" display="https://www.amazon.in/dp/B0GMK4ZJPX"/>
    <hyperlink ref="J170" r:id="rId169" display="https://www.amazon.in/Noise-Smartwatch-Calling-Tracking-Monitoring/dp/B0CQ4JT6NT/ref=sr_1_7"/>
    <hyperlink ref="J171" r:id="rId170" display="https://www.amazon.in/Fastrack-Limitless-Calling-Assistant-Tracking/dp/B0F5HRC4QC/ref=sr_1_8"/>
    <hyperlink ref="J172" r:id="rId171" display="https://www.amazon.in/dp/B0GMJYSSRH"/>
    <hyperlink ref="J173" r:id="rId172" display="https://www.amazon.in/dp/B0DMF23B83"/>
    <hyperlink ref="J174" r:id="rId173" display="https://www.amazon.in/Noise-Display-Bluetooth-Brightness-Smartwatch/dp/B0GMK64GS1/ref=sr_1_11"/>
    <hyperlink ref="J175" r:id="rId174" display="https://www.amazon.in/Noise-Launched-Display-Calling-Battery/dp/B0CG1Y3336/ref=sr_1_12"/>
    <hyperlink ref="J176" r:id="rId175" display="https://www.amazon.in/Noise-Luminary-Personalised-Notification-Lumilert/dp/B0D1KH77GD/ref=sr_1_13"/>
    <hyperlink ref="J177" r:id="rId176" display="https://www.amazon.in/Wisely-Noise-Colorfit-Ultra-Transparent/dp/B0D9VWBRYT/ref=sr_1_14"/>
    <hyperlink ref="J178" r:id="rId177" display="https://www.amazon.in/Colorcase-Smart-Silicon-Compatible-ColorFit/dp/B0DZC1YYTY/ref=sr_1_15"/>
    <hyperlink ref="J179" r:id="rId178" display="https://www.amazon.in/Wisely-Pack-SmartWatch-Protector-Compatible/dp/B0C46LH3MH/ref=sr_1_16_mod_primary_new"/>
    <hyperlink ref="J180" r:id="rId179" display="https://www.amazon.in/iTronix-Replacement-ColorFit-NoiseFit-Smartwatches/dp/B09HN6QB25/ref=sr_1_17"/>
    <hyperlink ref="J181" r:id="rId180" display="https://www.amazon.in/Noise-Pro-Smart-Watch-Intelligent/dp/B0DGXRLS1C/ref=sr_1_18"/>
    <hyperlink ref="J182" r:id="rId181" display="https://www.amazon.in/ZELFO-Smart-Silicone-Compatible-ColorFit/dp/B0C3LP4XYW/ref=sr_1_19"/>
    <hyperlink ref="J183" r:id="rId182" display="https://www.amazon.in/Noise-Smartwatch-Diamond-Metallic-Display/dp/B0C5X2JV72/ref=sr_1_20"/>
    <hyperlink ref="J184" r:id="rId183" display="https://www.amazon.in/Noise-NoiseFit-Halo-Smartwatch-Vintage/dp/B0FQVDMGJ4/ref=sr_1_21"/>
    <hyperlink ref="J185" r:id="rId184" display="https://www.amazon.in/Noise-Biggest-personalization-Productivity-Rosegold/dp/B0CFYP7XR3/ref=sr_1_22"/>
    <hyperlink ref="J186" r:id="rId185" display="https://www.amazon.in/dp/B0CQRRNNS4"/>
    <hyperlink ref="J187" r:id="rId186" display="https://www.amazon.in/dp/B0B6BLTGTT"/>
    <hyperlink ref="J188" r:id="rId187" display="https://www.amazon.in/ACM-Silicone-Compatible-Colorfit-Smartwatch/dp/B0C3VG4LJF/ref=sr_1_20"/>
    <hyperlink ref="J189" r:id="rId188" display="https://www.amazon.in/CERLINK-Magnetic-Charging-Cable-ColorFit/dp/B0DXD6KV4D/ref=sr_1_21"/>
    <hyperlink ref="J190" r:id="rId189" display="https://www.amazon.in/ACM-Stainless-compatible-Evolve-Smartwatch/dp/B0BG5H62DN/ref=sr_1_22"/>
    <hyperlink ref="J191" r:id="rId190" display="https://www.amazon.in/PROTECTERR-Smartwatch-Noise-ColorFit-Ultra/dp/B0GTPSFZ9R/ref=sr_1_23"/>
    <hyperlink ref="J192" r:id="rId191" display="https://www.amazon.in/MELFO-Smart-Watch-Compatible-ColorFit/dp/B0C3LP2P1S/ref=sr_1_24"/>
    <hyperlink ref="J193" r:id="rId192" display="https://www.amazon.in/Silicone-Magnetic-Watch-Band-Compatible/dp/B0C1Y19GTZ/ref=sr_1_25"/>
    <hyperlink ref="J194" r:id="rId193" display="https://www.amazon.in/TKM-Silicone-Compatible-Smartwatch-Replacement/dp/B0D98HL4BJ/ref=sr_1_26"/>
    <hyperlink ref="J195" r:id="rId194" display="https://www.amazon.in/MELFO-Smart-Watch-Compatible-ColorFit/dp/B0C3LNL5WQ/ref=sr_1_27"/>
    <hyperlink ref="J196" r:id="rId195" display="https://www.amazon.in/Sounce-Magnetic-Charging-ColorFit-Smartwatches/dp/B0CX97FMBR/ref=sr_1_28"/>
    <hyperlink ref="J197" r:id="rId196" display="https://www.amazon.in/Colorcase-Smart-Stainless-Compatible-ColorFit/dp/B0F7FNNNJD/ref=sr_1_29"/>
    <hyperlink ref="J198" r:id="rId197" display="https://www.amazon.in/22mm-Watch-Belt-Band-Compatible/dp/B0BNLTW9BL/ref=sr_1_30"/>
    <hyperlink ref="J199" r:id="rId198" display="https://www.amazon.in/AONES-Magnetic-Compatible-ColorFit-SmartWatch/dp/B0C6GNC9D5/ref=sr_1_31"/>
    <hyperlink ref="J200" r:id="rId199" display="https://www.amazon.in/HELLOSCREEN-Noise-Ultra-1-96-inch/dp/B0FHF5VCPR/ref=sr_1_32"/>
    <hyperlink ref="J201" r:id="rId200" display="https://www.amazon.in/Noise-Original-Watch-ColorFit-Smartwatches/dp/B0H83PPKPD/ref=sr_1_33"/>
    <hyperlink ref="J202" r:id="rId201" display="https://www.amazon.in/Wisely-Noise-ColorFit-Ultra-installation/dp/B0C3WJC28Y/ref=sr_1_34"/>
    <hyperlink ref="J203" r:id="rId202" display="https://www.amazon.in/Colorcase-Smart-Watch-Compatible-ColorFit/dp/B0F6KMCBJJ/ref=sr_1_35"/>
    <hyperlink ref="J204" r:id="rId203" display="https://www.amazon.in/dp/B0GT5BKZB2"/>
    <hyperlink ref="J205" r:id="rId204" display="https://www.amazon.in/dp/B0D6N83X6D"/>
    <hyperlink ref="J206" r:id="rId205" display="https://www.amazon.in/Noise-Launched-Functional-Rotating-Brightness/dp/B0GT57JPXX/ref=sr_1_3"/>
    <hyperlink ref="J207" r:id="rId206" display="https://www.amazon.in/Noise-Functional-Rotating-1000NITS-Brightness/dp/B0GZW8CTBF/ref=sr_1_4"/>
    <hyperlink ref="J208" r:id="rId207" display="https://www.amazon.in/dp/B0FNCQ7MLT"/>
    <hyperlink ref="J209" r:id="rId208" display="https://www.amazon.in/dp/B0DMF23B83"/>
    <hyperlink ref="J210" r:id="rId209" display="https://www.amazon.in/Noise-Smartwatch-Calling-Tracking-Monitoring/dp/B0CQ4K11B1/ref=sr_1_7"/>
    <hyperlink ref="J211" r:id="rId210" display="https://www.amazon.in/Fastrack-Jupiter-Display-Charging-Calling/dp/B0GLPF5GBP/ref=sr_1_8"/>
    <hyperlink ref="J212" r:id="rId211" display="https://www.amazon.in/dp/B0GMKL443R"/>
    <hyperlink ref="J213" r:id="rId212" display="https://www.amazon.in/dp/B0CG1Y3336"/>
    <hyperlink ref="J214" r:id="rId213" display="https://www.amazon.in/Fastrack-Jupiter-Display-Charging-Calling/dp/B0GLPC25J2/ref=sr_1_11"/>
    <hyperlink ref="J215" r:id="rId214" display="https://www.amazon.in/FCS-Coverage-Ultrathin-flexible-protector/dp/B0H6P999WM/ref=sr_1_12"/>
    <hyperlink ref="J216" r:id="rId215" display="https://www.amazon.in/ACM-Watch-Strap-compatible-Smartwatch/dp/B0H4W189FT/ref=sr_1_13"/>
    <hyperlink ref="J217" r:id="rId216" display="https://www.amazon.in/ACM-Watch-Strap-compatible-Smartwatch/dp/B0H4W5SZVW/ref=sr_1_14"/>
    <hyperlink ref="J218" r:id="rId217" display="https://www.amazon.in/NoiseFit-Bluetooth-Functional-Assistance-Tracker/dp/B0BMVRPGH5/ref=sr_1_16"/>
    <hyperlink ref="J219" r:id="rId218" display="https://www.amazon.in/Titan-Smartwatch-assistant-Hydration-Multisports/dp/B0GVYWSJHY/ref=sr_1_17"/>
    <hyperlink ref="J220" r:id="rId219" display="https://www.amazon.in/Noise-Assistant-Bluetooth-Calling-Stainless/dp/B0F8JF1R8X/ref=sr_1_18"/>
    <hyperlink ref="J221" r:id="rId220" display="https://www.amazon.in/Noise-Vibrant-Bluetooth-Metallic-Assistance/dp/B0DNQQ67JY/ref=sr_1_19"/>
    <hyperlink ref="J222" r:id="rId221" display="https://www.amazon.in/TOMBIK-Protector-Compatible-Bubble-Free-Protective/dp/B0H4H2ZQM5/ref=sr_1_20"/>
    <hyperlink ref="J223" r:id="rId222" display="https://www.amazon.in/Noise-Integration-Stainless-Emergency-Connectivity/dp/B0FNCQXYBY/ref=sr_1_21"/>
    <hyperlink ref="J224" r:id="rId223" display="https://www.amazon.in/Noise-NoiseFit-Halo-Smartwatch-Black/dp/B0FQV9Q4N6/ref=sr_1_22"/>
    <hyperlink ref="J225" r:id="rId224" display="https://www.amazon.in/dp/B0F992RNJF"/>
    <hyperlink ref="J226" r:id="rId225" display="https://www.amazon.in/Noise-Compatible-Geofencing-Monitoring-Emergency/dp/B0GSRN8KLC/ref=sr_1_20"/>
    <hyperlink ref="J227" r:id="rId226" display="https://www.amazon.in/ACM-Watch-Strap-compatible-Smartwatch/dp/B0H4WDTD9X/ref=sr_1_21"/>
    <hyperlink ref="J228" r:id="rId227" display="https://www.amazon.in/dp/B0F2Z2399K"/>
    <hyperlink ref="J229" r:id="rId228" display="https://www.amazon.in/dp/B0CG1VX5P4"/>
    <hyperlink ref="J230" r:id="rId229" display="https://www.amazon.in/YODI-Compatible-Smartwatch-Accessories-STURDY-GREEN/dp/B0H83BLZZQ/ref=sr_1_24"/>
    <hyperlink ref="J231" r:id="rId230" display="https://www.amazon.in/Noise-Display-Functional-Premium-Metallic/dp/B0D6GK2871/ref=sr_1_25"/>
    <hyperlink ref="J232" r:id="rId231" display="https://www.amazon.in/dp/B0DT952P8J"/>
    <hyperlink ref="J233" r:id="rId232" display="https://www.amazon.in/Noise-Launched-Endeavour-Display-Calling/dp/B0CG1T39PB/ref=sr_1_28"/>
    <hyperlink ref="J234" r:id="rId233" display="https://www.amazon.in/YODI-Colourful-Compatible-Smartwatch-STARLIGHT/dp/B0H7XWTL16/ref=sr_1_29"/>
    <hyperlink ref="J235" r:id="rId234" display="https://www.amazon.in/dp/B0DB5YVY2X"/>
    <hyperlink ref="J236" r:id="rId235" display="https://www.amazon.in/dp/B0D6YDPS29"/>
    <hyperlink ref="J237" r:id="rId236" display="https://www.amazon.in/Noise-Advanced-Bluetooth-Brightness-Smartwatch/dp/B0B6BPTFT5/ref=sr_1_32"/>
    <hyperlink ref="J238" r:id="rId237" display="https://www.amazon.in/Noise-Immersive-Smartwatch-Resistant-Functional/dp/B0F4RGHCF2/ref=sr_1_33"/>
    <hyperlink ref="J239" r:id="rId238" display="https://www.amazon.in/Noise-Launched-Functional-Stainless-Transition/dp/B0DBZT67WS/ref=sr_1_34"/>
    <hyperlink ref="J240" r:id="rId239" display="https://www.amazon.in/Saco-Anti-Glare-Hydrogel-Screen-Compatible/dp/B0HD7YS8P5/ref=sr_1_35"/>
    <hyperlink ref="J241" r:id="rId240" display="https://www.amazon.in/Saco-Hydrogel-Screen-Guard-Compatible/dp/B0HD7TBDZ7/ref=sr_1_36"/>
    <hyperlink ref="J242" r:id="rId241" display="https://www.amazon.in/YODI-Magnetic-Buckle-Silicone-Smartwatch/dp/B0H7XS1TTJ/ref=sr_1_37"/>
    <hyperlink ref="J243" r:id="rId242" display="https://www.amazon.in/Noise-Smartwatch-Tracking-Temperature-Location/dp/B0FWCRMYGT/ref=sr_1_38"/>
    <hyperlink ref="J244" r:id="rId243" display="https://www.amazon.in/Noise-Display-Bluetooth-Assistance-Metallic/dp/B0CQHY1S1V/ref=sr_1_39"/>
    <hyperlink ref="J245" r:id="rId244" display="https://www.amazon.in/ACM-Watch-Strap-compatible-Smartwatch/dp/B0H4YXF5TV/ref=sr_1_40"/>
    <hyperlink ref="J246" r:id="rId245" display="https://www.amazon.in/Amazfit-Premium-Smartchoice-Running-Sapphire/dp/B0GM29C6PW/ref=sr_1_41"/>
    <hyperlink ref="J247" r:id="rId246" display="https://www.amazon.in/dp/B0FZ9YD8MN"/>
    <hyperlink ref="J248" r:id="rId247" display="https://www.amazon.in/dp/B0CQJZD55X"/>
    <hyperlink ref="J249" r:id="rId248" display="https://www.amazon.in/OnePlus-Playback-Translation-Dual-Device-Connectivity/dp/B0FMDL81GS/ref=sr_1_3"/>
    <hyperlink ref="J250" r:id="rId249" display="https://www.amazon.in/Kratos-TW02-Isolation-Bluetooth-Assistant/dp/B0G2H4R5YB/ref=sr_1_4"/>
    <hyperlink ref="J251" r:id="rId250" display="https://www.amazon.in/dp/B0DK979YJ7"/>
    <hyperlink ref="J252" r:id="rId251" display="https://www.amazon.in/dp/B0GCNML31G"/>
    <hyperlink ref="J253" r:id="rId252" display="https://www.amazon.in/Philips-Bluetooth-Wireless-Assistant-Indicator/dp/B0FHKHT717/ref=sr_1_7"/>
    <hyperlink ref="J254" r:id="rId253" display="https://www.amazon.in/HAMMER-Wireless-Charging-Connectivity-Resistant/dp/B0FZD7ZJGD/ref=sr_1_8"/>
    <hyperlink ref="J255" r:id="rId254" display="https://www.amazon.in/dp/B0DS2XNXZB"/>
    <hyperlink ref="J256" r:id="rId255" display="https://www.amazon.in/dp/B0FHW7PX1N"/>
    <hyperlink ref="J257" r:id="rId256" display="https://www.amazon.in/boAt-Airdopes-Plus-311-Bluetooth/dp/B0DZXX6SKP/ref=sr_1_11"/>
    <hyperlink ref="J258" r:id="rId257" display="https://www.amazon.in/OnePlus-Wireless-Bluetooth-Cancellation-Harmonic/dp/B0DFQ1R3W4/ref=sr_1_12"/>
    <hyperlink ref="J259" r:id="rId258" display="https://www.amazon.in/Noise-Launched-Wireless-Playtime-Instacharge/dp/B0CQJXC3SP/ref=sr_1_13"/>
    <hyperlink ref="J260" r:id="rId259" display="https://www.amazon.in/JBL-Wireless-BluetoothV5-3-Cancellation-Customized/dp/B0DHL63KWK/ref=sr_1_14"/>
    <hyperlink ref="J261" r:id="rId260" display="https://www.amazon.in/VarniEnterprise-Bluetooth-Charging-Reduction-Earphones/dp/B0HCC9J9WV/ref=sr_1_15"/>
    <hyperlink ref="J262" r:id="rId261" display="https://www.amazon.in/boAt-Airdopes-Bluetooth-Wireless-Earphones/dp/B0FC2Y3XGV/ref=sr_1_16"/>
    <hyperlink ref="J263" r:id="rId262" display="https://www.amazon.in/Boult-Audio-Wireless-Playtime-Bluetooth/dp/B0BQN2RMJF/ref=sr_1_17"/>
    <hyperlink ref="J264" r:id="rId263" display="https://www.amazon.in/boAt-Airdopes-Alpha-Wireless-Earbuds/dp/B0C3ZYFZ77/ref=sr_1_18"/>
    <hyperlink ref="J265" r:id="rId264" display="https://www.amazon.in/Mivi-Marathon-Playtime-Wireless-Bluetooth/dp/B0FTFMNYBV/ref=sr_1_19"/>
    <hyperlink ref="J266" r:id="rId265" display="https://www.amazon.in/boAt-Airdopes-Surround-AI-ENxTM-Bluetooth/dp/B0GZMYZW7R/ref=sr_1_21"/>
    <hyperlink ref="J267" r:id="rId266" display="https://www.amazon.in/boAt-Nirvana-Playback-Technology-Detection/dp/B0BW8RVQ3V/ref=sr_1_22"/>
    <hyperlink ref="J268" r:id="rId267" display="https://www.amazon.in/dp/B0CQJWQWD9"/>
    <hyperlink ref="J269" r:id="rId268" display="https://www.amazon.in/dp/B0GCNK81FR"/>
    <hyperlink ref="J270" r:id="rId269" display="https://www.amazon.in/Portronics-Harmonics-Wireless-Bluetooth-Resistance/dp/B0CV5L6Y8Y/ref=sr_1_20"/>
    <hyperlink ref="J271" r:id="rId270" display="https://www.amazon.in/Airdopes-Battery-Bluetooth-Wireless-Earphones/dp/B0FL2SJTB2/ref=sr_1_21"/>
    <hyperlink ref="J272" r:id="rId271" display="https://www.amazon.in/dp/B0CYPYZF64"/>
    <hyperlink ref="J273" r:id="rId272" display="https://www.amazon.in/pTron-Bassbuds-Bluetooth-Headphones-Assistant/dp/B0D78XSMSM/ref=sr_1_24"/>
    <hyperlink ref="J274" r:id="rId273" display="https://www.amazon.in/Airdopes-Drivers-Bluetooth-Wireless-Earphones/dp/B0FPLP7SMZ/ref=sr_1_25"/>
    <hyperlink ref="J275" r:id="rId274" display="https://www.amazon.in/dp/B0GHQD8KP2"/>
    <hyperlink ref="J276" r:id="rId275" display="https://www.amazon.in/dp/B0GSZV3415"/>
    <hyperlink ref="J277" r:id="rId276" display="https://www.amazon.in/realme-Wireless-Earbuds-Spatial-Charging/dp/B0DBGNY4XP/ref=sr_1_28"/>
    <hyperlink ref="J278" r:id="rId277" display="https://www.amazon.in/Kratos-Isolation-Bluetooth-Assistant-Earphones/dp/B0GCN923RQ/ref=sr_1_29"/>
    <hyperlink ref="J279" r:id="rId278" display="https://www.amazon.in/dp/B0CFYJ8HRS"/>
    <hyperlink ref="J280" r:id="rId279" display="https://www.amazon.in/boAt-Airdopes-141-Streaming-Bluetooth/dp/B0F8BVSK21/ref=sr_1_32"/>
    <hyperlink ref="J281" r:id="rId280" display="https://www.amazon.in/Mivi-Playtime-Bluetooth-Earphones-Wireless/dp/B0G2GGLTMF/ref=sr_1_33"/>
    <hyperlink ref="J282" r:id="rId281" display="https://www.amazon.in/Kratos-Isolation-Bluetooth-Assistant-Earphones/dp/B0GCSKS7QG/ref=sr_1_34"/>
    <hyperlink ref="J283" r:id="rId282" display="https://www.amazon.in/realme-Dynamic-Drivers-Playtime-Resistant/dp/B0GDQ7Y8Q5/ref=sr_1_35"/>
    <hyperlink ref="J284" r:id="rId283" display="https://www.amazon.in/Samsung-Enabled-Enriched-Battery-Controls/dp/B0FDGSYR17/ref=sr_1_36"/>
    <hyperlink ref="J285" r:id="rId284" display="https://www.amazon.in/Noise-Wireless-Earbuds-Playtime-Latency/dp/B0FZ9SWB7S/ref=sr_1_37"/>
    <hyperlink ref="J286" r:id="rId285" display="https://www.amazon.in/Noise-Wireless-Earbuds-Playtime-Instacharge/dp/B0DS2TTRQC/ref=sr_1_38"/>
    <hyperlink ref="J287" r:id="rId286" display="https://www.amazon.in/Sony-WF-1000XM5-Cancelling-Headphones-Multi-Point/dp/B0C33XXS56/ref=sr_1_39"/>
    <hyperlink ref="J288" r:id="rId287" display="https://www.amazon.in/boAt-Airdopes-300-Multipoint-Connection/dp/B0D3LBFX1W/ref=sr_1_40"/>
    <hyperlink ref="J289" r:id="rId288" display="https://www.amazon.in/boAt-Airdopes-ProClip-Conduction-Feather-Light/dp/B0GZN7C6X8/ref=sr_1_41"/>
    <hyperlink ref="J290" r:id="rId289" display="https://www.amazon.in/dp/B0FN7J4997"/>
    <hyperlink ref="J291" r:id="rId290" display="https://www.amazon.in/dp/B0CQJWMMG7"/>
    <hyperlink ref="J292" r:id="rId291" display="https://www.amazon.in/OnePlus-Playback-Translation-Dual-Device-Connectivity/dp/B0FMDL81GS/ref=sr_1_3"/>
    <hyperlink ref="J293" r:id="rId292" display="https://www.amazon.in/realme-Wireless-Earbuds-Dynamic-Playback/dp/B0FBR6HGXM/ref=sr_1_4"/>
    <hyperlink ref="J294" r:id="rId293" display="https://www.amazon.in/dp/B0FTZD16TR"/>
    <hyperlink ref="J295" r:id="rId294" display="https://www.amazon.in/dp/B0D4QLT8WG"/>
    <hyperlink ref="J296" r:id="rId295" display="https://www.amazon.in/HAMMER-Wireless-Transparency-Titanium-Semi-Transparent/dp/B0FQC3DVWB/ref=sr_1_7"/>
    <hyperlink ref="J297" r:id="rId296" display="https://www.amazon.in/realme-Wireless-Earbuds-Spatial-Charging/dp/B0DBGP48NW/ref=sr_1_8"/>
    <hyperlink ref="J298" r:id="rId297" display="https://www.amazon.in/dp/B0H6B1L8N1"/>
    <hyperlink ref="J299" r:id="rId298" display="https://www.amazon.in/dp/B0DNZPWVM7"/>
    <hyperlink ref="J300" r:id="rId299" display="https://www.amazon.in/boAt-Airdopes-Bluetooth-Wireless-Earphones/dp/B0F5BDJG4C/ref=sr_1_11"/>
    <hyperlink ref="J301" r:id="rId300" display="https://www.amazon.in/boAt-Nirvana-Ion-ANC-Cancellation/dp/B0CF5QFH77/ref=sr_1_12"/>
    <hyperlink ref="J302" r:id="rId301" display="https://www.amazon.in/GOBOULT-Launched-Playtime-Bluetooth-Wireless/dp/B0H6B3HXXG/ref=sr_1_13"/>
    <hyperlink ref="J303" r:id="rId302" display="https://www.amazon.in/OnePlus-Wireless-Bluetooth-Cancellation-Charging/dp/B0D7HZ3KK9/ref=sr_1_14"/>
    <hyperlink ref="J304" r:id="rId303" display="https://www.amazon.in/JensiKidz-TWS-Bluetooth-Earbuds-Black/dp/B0HDVXNBX8/ref=sr_1_15"/>
    <hyperlink ref="J305" r:id="rId304" display="https://www.amazon.in/Noise-Launched-Wireless-Metallic-Instacharge/dp/B0FN7L9JQ1/ref=sr_1_17"/>
    <hyperlink ref="J306" r:id="rId305" display="https://www.amazon.in/GOBOULT-Playtime-Cancellation-Bluetooth-Wireless/dp/B0GRV6L413/ref=sr_1_18"/>
    <hyperlink ref="J307" r:id="rId306" display="https://www.amazon.in/realme-Wireless-Playtime-Resistant-SlateGrey/dp/B0F5GV3Y87/ref=sr_1_19"/>
    <hyperlink ref="J308" r:id="rId307" display="https://www.amazon.in/Samsung-Enabled-Enriched-Battery-Controls/dp/B0FDGVNSLH/ref=sr_1_20"/>
    <hyperlink ref="J309" r:id="rId308" display="https://www.amazon.in/OnePlus-Real-time-Adaptive-Dual-Device-connectivity/dp/B0FCMPJQ1J/ref=sr_1_21"/>
    <hyperlink ref="J310" r:id="rId309" display="https://www.amazon.in/boAt-Airdopes-Multidevice-Bluetooth-Earphones/dp/B0F8BWZSFD/ref=sr_1_22"/>
    <hyperlink ref="J311" r:id="rId310" display="https://www.amazon.in/dp/B0DNZTC6K7"/>
    <hyperlink ref="J312" r:id="rId311" display="https://www.amazon.in/dp/B0DD2VL3MX"/>
    <hyperlink ref="J313" r:id="rId312" display="https://www.amazon.in/GOBOULT-Launched-Playtime-Bluetooth-Wireless/dp/B0H69QVCGL/ref=sr_1_20"/>
    <hyperlink ref="J314" r:id="rId313" display="https://www.amazon.in/PHILIPS-TAT1150BK-94-Multipoint-ergonomically/dp/B0DXL76777/ref=sr_1_21"/>
    <hyperlink ref="J315" r:id="rId314" display="https://www.amazon.in/realme-Dynamic-Drivers-Playtime-Resistant/dp/B0GDQ28DY5/ref=sr_1_24"/>
    <hyperlink ref="J316" r:id="rId315" display="https://www.amazon.in/OnePlus-Nord-E518A-Raven-Black/dp/B0GQTSHLLR/ref=sr_1_25"/>
    <hyperlink ref="J317" r:id="rId316" display="https://www.amazon.in/JBL-Wireless-BluetoothV5-3-Cancellation-Customized/dp/B0DHL63KWK/ref=sr_1_28"/>
    <hyperlink ref="J318" r:id="rId317" display="https://www.amazon.in/GOBOULT-Playtime-Cancellation-Bluetooth-Wireless/dp/B0GRV5S7DW/ref=sr_1_29"/>
    <hyperlink ref="J319" r:id="rId318" display="https://www.amazon.in/dp/B0FKTN7TR8"/>
    <hyperlink ref="J320" r:id="rId319" display="https://www.amazon.in/GOBOULT-Wireless-Earbuds-Cancellation-Playtime/dp/B0F9L6VF7G/ref=sr_1_32"/>
    <hyperlink ref="J321" r:id="rId320" display="https://www.amazon.in/boAt-Tracking-Bluetooth-Wireless-Earphones/dp/B0DBHBZZTN/ref=sr_1_33"/>
    <hyperlink ref="J322" r:id="rId321" display="https://www.amazon.in/GOBOULT-Earbuds-Drivers-Playtime-Support/dp/B0GJ5Z3XKS/ref=sr_1_34"/>
    <hyperlink ref="J323" r:id="rId322" display="https://www.amazon.in/JBL-Wireless-BluetoothV5-3-Cancellation-Customized/dp/B0DHL93XCN/ref=sr_1_35"/>
    <hyperlink ref="J324" r:id="rId323" display="https://www.amazon.in/boAt-Cancellation-Multipoint-Connectivity-Bluetooth/dp/B0FB3J8M6J/ref=sr_1_36"/>
    <hyperlink ref="J325" r:id="rId324" display="https://www.amazon.in/Noise-Spatial-Playtime-Instacharge-Metallic/dp/B0GWD513TF/ref=sr_1_37"/>
    <hyperlink ref="J326" r:id="rId325" display="https://www.amazon.in/JBL-Playtime-Customized-Headphones-Personi-Fi/dp/B0DK3RXTW4/ref=sr_1_38"/>
    <hyperlink ref="J327" r:id="rId326" display="https://www.amazon.in/CrossBeats-Hertz-Earphones-Bluetooth-Cancellation/dp/B0G6D8R6XM/ref=sr_1_39"/>
    <hyperlink ref="J328" r:id="rId327" display="https://www.amazon.in/iQOO-Cancellation-Charging-Playtime-Playback/dp/B07WDKJKSP/ref=sr_1_40"/>
    <hyperlink ref="J329" r:id="rId328" display="https://www.amazon.in/Mivi-Marathon-Playtime-Wireless-Bluetooth/dp/B0FTFMNYBV/ref=sr_1_41"/>
    <hyperlink ref="J330" r:id="rId329" display="https://www.amazon.in/dp/B0FZ9YLWP1"/>
    <hyperlink ref="J331" r:id="rId330" display="https://www.amazon.in/dp/B0D4QLT8WG"/>
    <hyperlink ref="J332" r:id="rId331" display="https://www.amazon.in/OnePlus-Playback-Translation-Dual-Device-Connectivity/dp/B0FMDL81GS/ref=sr_1_3"/>
    <hyperlink ref="J333" r:id="rId332" display="https://www.amazon.in/Philips-Bluetooth-Wireless-Assistant-Indicator/dp/B0FHKHT717/ref=sr_1_4"/>
    <hyperlink ref="J334" r:id="rId333" display="https://www.amazon.in/dp/B0DS2XNXZB"/>
    <hyperlink ref="J335" r:id="rId334" display="https://www.amazon.in/dp/B0FHW7PX1N"/>
    <hyperlink ref="J336" r:id="rId335" display="https://www.amazon.in/boAt-Nirvana-Technology-Detection-Bluetooth/dp/B0BW8TXJJ2/ref=sr_1_7"/>
    <hyperlink ref="J337" r:id="rId336" display="https://www.amazon.in/boAt-Airdopes-Pocketable-Controls-Bluetooth/dp/B0GZNHB218/ref=sr_1_8"/>
    <hyperlink ref="J338" r:id="rId337" display="https://www.amazon.in/dp/B0CFYB2154"/>
    <hyperlink ref="J339" r:id="rId338" display="https://www.amazon.in/dp/B0CQJZD55X"/>
    <hyperlink ref="J340" r:id="rId339" display="https://www.amazon.in/boAt-Airdopes-Surround-AI-ENxTM-Bluetooth/dp/B0GZMYZW7R/ref=sr_1_11"/>
    <hyperlink ref="J341" r:id="rId340" display="https://www.amazon.in/Mivi-Marathon-Playtime-Wireless-Bluetooth/dp/B0FTFMNYBV/ref=sr_1_12"/>
    <hyperlink ref="J342" r:id="rId341" display="https://www.amazon.in/realme-Bluetooth-Earbuds-Playback-Charging/dp/B0DZCRYG7R/ref=sr_1_13"/>
    <hyperlink ref="J343" r:id="rId342" display="https://www.amazon.in/HAMMER-Playtime-Assistant-Lightweight-Dual-Tone/dp/B0GDTRYXYF/ref=sr_1_14"/>
    <hyperlink ref="J344" r:id="rId343" display="https://www.amazon.in/realme-Bluetooth-Wireless-Playback-Charging/dp/B0DFWL8F5C/ref=sr_1_15"/>
    <hyperlink ref="J345" r:id="rId344" display="https://www.amazon.in/Kratos-TW02-Isolation-Bluetooth-Assistant/dp/B0G2H4R5YB/ref=sr_1_16"/>
    <hyperlink ref="J346" r:id="rId345" display="https://www.amazon.in/boAt-Airdopes-Bluetooth-Wireless-Earphones/dp/B0FC2Y3XGV/ref=sr_1_17"/>
    <hyperlink ref="J347" r:id="rId346" display="https://www.amazon.in/boAt-Airdopes-Powerful-Playback-Bluetooth/dp/B0GXB9M2HW/ref=sr_1_18"/>
    <hyperlink ref="J348" r:id="rId347" display="https://www.amazon.in/boAt-Airdopes-300-Multipoint-Connection/dp/B0D3DH8TSC/ref=sr_1_19"/>
    <hyperlink ref="J349" r:id="rId348" display="https://www.amazon.in/boAt-Airdopes-ProClip-Conduction-Feather-Light/dp/B0GZN7C6X8/ref=sr_1_20"/>
    <hyperlink ref="J350" r:id="rId349" display="https://www.amazon.in/Kratos-Isolation-Bluetooth-Assistant-Earphones/dp/B0GCMGNVJX/ref=sr_1_22"/>
    <hyperlink ref="J351" r:id="rId350" display="https://www.amazon.in/dp/B0CQJWMMG7"/>
    <hyperlink ref="J352" r:id="rId351" display="https://www.amazon.in/boAt-Airdopes-101v2-Pitch-Black/dp/B0DXPNVSSB/ref=sr_1_20"/>
    <hyperlink ref="J353" r:id="rId352" display="https://www.amazon.in/VarniEnterprise-Bluetooth-Charging-Reduction-Earphones/dp/B0HCC9J9WV/ref=sr_1_21"/>
    <hyperlink ref="J354" r:id="rId353" display="https://www.amazon.in/dp/B0GFH4C819"/>
    <hyperlink ref="J355" r:id="rId354" display="https://www.amazon.in/boAt-Airdopes-Alpha-Wireless-Earbuds/dp/B0C3ZYFZ77/ref=sr_1_24"/>
    <hyperlink ref="J356" r:id="rId355" display="https://www.amazon.in/Airdopes-131-Technology-Bluetooth-Immersive/dp/B088FKCD4J/ref=sr_1_25"/>
    <hyperlink ref="J357" r:id="rId356" display="https://www.amazon.in/dp/B0GWGPYZVQ"/>
    <hyperlink ref="J358" r:id="rId357" display="https://www.amazon.in/GOBOULT-Launched-Playtime-Bluetooth-Wireless/dp/B0H6B3HXXG/ref=sr_1_28"/>
    <hyperlink ref="J359" r:id="rId358" display="https://www.amazon.in/Airdopes-141-Playtime-Resistance-Bluetooth/dp/B09N3ZNHTY/ref=sr_1_29"/>
    <hyperlink ref="J360" r:id="rId359" display="https://www.amazon.in/dp/B0CFYF21QZ"/>
    <hyperlink ref="J361" r:id="rId360" display="https://www.amazon.in/dp/B0GCNK81FR"/>
    <hyperlink ref="J362" r:id="rId361" display="https://www.amazon.in/boAt-Airdopes-Powerful-Playback-Bluetooth/dp/B0GXBBD73Q/ref=sr_1_32"/>
    <hyperlink ref="J363" r:id="rId362" display="https://www.amazon.in/Noise-Wireless-Metallic-Playtime-Instacharge/dp/B0D4QNLF6Y/ref=sr_1_33"/>
    <hyperlink ref="J364" r:id="rId363" display="https://www.amazon.in/boAt-Airdopes-Plus-311-Bluetooth/dp/B0DZXX6SKP/ref=sr_1_34"/>
    <hyperlink ref="J365" r:id="rId364" display="https://www.amazon.in/Wireless-Bluetooth-Reduction-Earphones-Charging/dp/B0HCCPSMC7/ref=sr_1_36"/>
    <hyperlink ref="J366" r:id="rId365" display="https://www.amazon.in/boAt-Airdopes-Multidevice-Bluetooth-Earphones/dp/B0F8BVYRWS/ref=sr_1_37"/>
    <hyperlink ref="J367" r:id="rId366" display="https://www.amazon.in/GOBOULT-Formerly-Bluetooth-Playtime-Charging/dp/B0DZ12NCD7/ref=sr_1_38"/>
    <hyperlink ref="J368" r:id="rId367" display="https://www.amazon.in/pTron-Bassbuds-Bluetooth-Headphones-Assistant/dp/B0D78XSMSM/ref=sr_1_39"/>
    <hyperlink ref="J369" r:id="rId368" display="https://www.amazon.in/Boult-Launched-Wireless-Breathing-Bluetooth/dp/B0CQ4MMP63/ref=sr_1_40"/>
    <hyperlink ref="J370" r:id="rId369" display="https://www.amazon.in/boAt-Airdopes-121-Pro-Plus/dp/B0D49ZS9MT/ref=sr_1_41"/>
    <hyperlink ref="J371" r:id="rId370" display="https://www.amazon.in/dp/B0DRVH17LV"/>
    <hyperlink ref="J372" r:id="rId371" display="https://www.amazon.in/dp/B0DB5XSKLJ"/>
    <hyperlink ref="J373" r:id="rId372" display="https://www.amazon.in/Smartwatch-Bluetooth-Calculator-Waterproof-Wallpaper/dp/B0H9NYH8DW/ref=sr_1_3"/>
    <hyperlink ref="J374" r:id="rId373" display="https://www.amazon.in/Smartwatch-Bluetooth-Calculator-Waterproof-Wallpaper/dp/B0HDTVN4CN/ref=sr_1_4"/>
    <hyperlink ref="J375" r:id="rId374" display="https://www.amazon.in/dp/B0GVYXJHZJ"/>
    <hyperlink ref="J376" r:id="rId375" display="https://www.amazon.in/dp/B0CLR9LP6T"/>
    <hyperlink ref="J377" r:id="rId376" display="https://www.amazon.in/Noise-Launched-Bluetooth-Calling-Tracking/dp/B0BJ72WZQ7/ref=sr_1_7"/>
    <hyperlink ref="J378" r:id="rId377" display="https://www.amazon.in/Smartwatch-Display-Animated-Functional-Multiple/dp/B0FLF44GTQ/ref=sr_1_8"/>
    <hyperlink ref="J379" r:id="rId378" display="https://www.amazon.in/dp/B0F5HSJY5H"/>
    <hyperlink ref="J380" r:id="rId379" display="https://www.amazon.in/dp/B0FLYHD5MD"/>
    <hyperlink ref="J381" r:id="rId380" display="https://www.amazon.in/Fire-Boltt-Launched-Display-Bluetooth-Assistance/dp/B0C497MSQN/ref=sr_1_11"/>
    <hyperlink ref="J382" r:id="rId381" display="https://www.amazon.in/Fire%E2%80%91Boltt-Bluetooth-Assistant-Rotating-Waterproof/dp/B0CMF25TKG/ref=sr_1_12"/>
    <hyperlink ref="J383" r:id="rId382" display="https://www.amazon.in/Noise-Launched-Bluetooth-Detection-Smartwatch/dp/B0CQRQK8L8/ref=sr_1_13"/>
    <hyperlink ref="J384" r:id="rId383" display="https://www.amazon.in/Noise-Advanced-Bluetooth-Brightness-Smartwatch/dp/B0B6BMWKDP/ref=sr_1_14"/>
    <hyperlink ref="J385" r:id="rId384" display="https://www.amazon.in/Smartwatch-Bluetooth-Calculator-Waterproof-Wallpaper/dp/B0HBXM4JNN/ref=sr_1_15"/>
    <hyperlink ref="J386" r:id="rId385" display="https://www.amazon.in/YZTQU-Display-Bluetooth-Waterproof-Smartwatch/dp/B0HCBXF349/ref=sr_1_16"/>
    <hyperlink ref="J387" r:id="rId386" display="https://www.amazon.in/Fire-Boltt-Bluetooth-Calling-Smartwatch-Assistance/dp/B0F2Z2TRK9/ref=sr_1_18"/>
    <hyperlink ref="J388" r:id="rId387" display="https://www.amazon.in/Smartwatch-Calling-Fitness-Heart-Tracking/dp/B0GL9FDGCT/ref=sr_1_19"/>
    <hyperlink ref="J389" r:id="rId388" display="https://www.amazon.in/Fire-Boltt-Transparent-Bluetooth-Assistant-Smartwatch/dp/B0GGHQ229W/ref=sr_1_20"/>
    <hyperlink ref="J390" r:id="rId389" display="https://www.amazon.in/Bluetooth-Calling-Display-Fitness-Tracking/dp/B0H8DTL78B/ref=sr_1_21"/>
    <hyperlink ref="J391" r:id="rId390" display="https://www.amazon.in/Discovery-Metallic-Animated-Watchfaces-Bluetooth/dp/B0G1T2GZP9/ref=sr_1_22"/>
    <hyperlink ref="J392" r:id="rId391" display="https://www.amazon.in/dp/B0F5HQSXSV"/>
    <hyperlink ref="J393" r:id="rId392" display="https://www.amazon.in/dp/B0DFYNLPFD"/>
    <hyperlink ref="J394" r:id="rId393" display="https://www.amazon.in/CHG-Bluetooth-Calling-Monitoring-Multiple/dp/B0H46CCMRH/ref=sr_1_20"/>
    <hyperlink ref="J395" r:id="rId394" display="https://www.amazon.in/Fire-Boltt-Display-Bluetooth-Calling-Assistance/dp/B0DTB2TZ84/ref=sr_1_21"/>
    <hyperlink ref="J396" r:id="rId395" display="https://www.amazon.in/dp/B0CG1Y3336"/>
    <hyperlink ref="J397" r:id="rId396" display="https://www.amazon.in/Fire-Boltt-Stainless-Bluetooth-Monitoring-Assistant/dp/B0CG1VX5P4/ref=sr_1_24"/>
    <hyperlink ref="J398" r:id="rId397" display="https://www.amazon.in/Fire-Boltt-Bluetooth-Rotating-Waterproof-Smartwatch/dp/B0FP2D6Z16/ref=sr_1_25"/>
    <hyperlink ref="J399" r:id="rId398" display="https://www.amazon.in/dp/B0FLYYHCJW"/>
    <hyperlink ref="J400" r:id="rId399" display="https://www.amazon.in/dp/B0GLPBXQQD"/>
    <hyperlink ref="J401" r:id="rId400" display="https://www.amazon.in/Redmi-Smartwatch-390%C3%97450-Bluetooth-Calling/dp/B0FSLT35WH/ref=sr_1_28"/>
    <hyperlink ref="J402" r:id="rId401" display="https://www.amazon.in/Fire-Boltt-Stainless-Bluetooth-Rotating-Assistant/dp/B0DSF243J4/ref=sr_1_29"/>
    <hyperlink ref="J403" r:id="rId402" display="https://www.amazon.in/dp/B0FLYKJV58"/>
    <hyperlink ref="J404" r:id="rId403" display="https://www.amazon.in/dp/B0D6N83X6D"/>
    <hyperlink ref="J405" r:id="rId404" display="https://www.amazon.in/Fastrack-Resolution-SingleSync-Assistant-Smartwatch/dp/B0DGGVHMDS/ref=sr_1_32"/>
    <hyperlink ref="J406" r:id="rId405" display="https://www.amazon.in/Fire-Boltt-Display-Bluetooth-Calling-Assistance/dp/B0DKBZYXZY/ref=sr_1_33"/>
    <hyperlink ref="J407" r:id="rId406" display="https://www.amazon.in/Fire-Boltt-Bluetooth-Assistance-Resolution-Cinnamon/dp/B0DY82221X/ref=sr_1_34"/>
    <hyperlink ref="J408" r:id="rId407" display="https://www.amazon.in/Fire-Boltt-BSW215-Brillia-Dark-Grey/dp/B0D2KGBVX4/ref=sr_1_35"/>
    <hyperlink ref="J409" r:id="rId408" display="https://www.amazon.in/Fastrack-Display-Silicone-Calling-Smartwatch/dp/B0F5HS5NPM/ref=sr_1_36"/>
    <hyperlink ref="J410" r:id="rId409" display="https://www.amazon.in/Fire-Boltt-Phoenix-Bluetooth-Calling-Monitoring/dp/B0B3RRWSF6/ref=sr_1_37"/>
    <hyperlink ref="J411" r:id="rId410" display="https://www.amazon.in/Smartwatch-Bluetooth-Calculator-Waterproof-Wallpaper/dp/B0H9DNCD63/ref=sr_1_38"/>
    <hyperlink ref="J412" r:id="rId411" display="https://www.amazon.in/boAt-Navigation-Display-Bluetooth-Emergency/dp/B0CVQG14RR/ref=sr_1_39"/>
    <hyperlink ref="J413" r:id="rId412" display="https://www.amazon.in/Fire-Boltt-Bluetooth-Assistant-Monitoring-Millanese/dp/B0DY834T7L/ref=sr_1_40"/>
    <hyperlink ref="J414" r:id="rId413" display="https://www.amazon.in/Noise-Vibrant-Bluetooth-Metallic-Assistance/dp/B0DNQQ67JY/ref=sr_1_41"/>
    <hyperlink ref="J415" r:id="rId414" display="https://www.amazon.in/dp/B0DKC1XQL3"/>
    <hyperlink ref="J416" r:id="rId415" display="https://www.amazon.in/dp/B0F993RN8H"/>
    <hyperlink ref="J417" r:id="rId416" display="https://www.amazon.in/Noise-Smartwatch-Calling-Tracking-Monitoring/dp/B0CQ4K8J3R/ref=sr_1_3"/>
    <hyperlink ref="J418" r:id="rId417" display="https://www.amazon.in/Fire-Boltt-Launched-Display-Bluetooth-Assistance/dp/B0C496V772/ref=sr_1_4"/>
    <hyperlink ref="J419" r:id="rId418" display="https://www.amazon.in/dp/B0GVYXJHZJ"/>
    <hyperlink ref="J420" r:id="rId419" display="https://www.amazon.in/dp/B0GLPC25J2"/>
    <hyperlink ref="J421" r:id="rId420" display="https://www.amazon.in/Noise-Advanced-Bluetooth-Brightness-Smartwatch/dp/B0B6BLTGTT/ref=sr_1_7"/>
    <hyperlink ref="J422" r:id="rId421" display="https://www.amazon.in/Fastrack-Resolution-SingleSync-Assistant-Smartwatch/dp/B0DDQCDQQG/ref=sr_1_8"/>
    <hyperlink ref="J423" r:id="rId422" display="https://www.amazon.in/dp/B0CMF25TKG"/>
    <hyperlink ref="J424" r:id="rId423" display="https://www.amazon.in/dp/B0CG1Y3336"/>
    <hyperlink ref="J425" r:id="rId424" display="https://www.amazon.in/Fastrack-Limitless-Smartwatch-SingleSync-Watchfaces/dp/B0D1VKS2L9/ref=sr_1_11"/>
    <hyperlink ref="J426" r:id="rId425" display="https://www.amazon.in/Fire-Boltt-BSW215-Brillia-Dark-Grey/dp/B0D2KGBVX4/ref=sr_1_12"/>
    <hyperlink ref="J427" r:id="rId426" display="https://www.amazon.in/Fire-Boltt-Bluetooth-Assistant-Monitoring-Burgandy/dp/B0DY7YPBJL/ref=sr_1_13"/>
    <hyperlink ref="J428" r:id="rId427" display="https://www.amazon.in/Discovery-Metallic-Animated-Watchfaces-Bluetooth/dp/B0G1T2GZP9/ref=sr_1_14"/>
    <hyperlink ref="J429" r:id="rId428" display="https://www.amazon.in/boAt-Smartwatch-Charging-Functional-Tracking/dp/B0GX9JK9SN/ref=sr_1_15"/>
    <hyperlink ref="J430" r:id="rId429" display="https://www.amazon.in/Smartwatch-Display-Animated-Functional-Multiple/dp/B0FLF44GTQ/ref=sr_1_16"/>
    <hyperlink ref="J431" r:id="rId430" display="https://www.amazon.in/Fire-Boltt-Bluetooth-Calling-Smartwatch-Assistance/dp/B0F2Z2TRK9/ref=sr_1_17"/>
    <hyperlink ref="J432" r:id="rId431" display="https://www.amazon.in/boAt-Lunar-Discovery-Navigation-Bluetooth/dp/B0DFYL4635/ref=sr_1_18"/>
    <hyperlink ref="J433" r:id="rId432" display="https://www.amazon.in/Fire-Boltt-Bluetooth-Rotating-Assistant-Monitoring/dp/B0DSDXJG8Q/ref=sr_1_19"/>
    <hyperlink ref="J434" r:id="rId433" display="https://www.amazon.in/Noise-Vibrant-Bluetooth-Metallic-Assistance/dp/B0DNQQ67JY/ref=sr_1_20"/>
    <hyperlink ref="J435" r:id="rId434" display="https://www.amazon.in/GOBOULT-Tuff-Hawk-Watchfaces-Brightness/dp/B0GGLGGHZF/ref=sr_1_21"/>
    <hyperlink ref="J436" r:id="rId435" display="https://www.amazon.in/Fastrack-Jupiter-Smartwatch-Tracking-Multiple/dp/B0GLPGN521/ref=sr_1_22"/>
    <hyperlink ref="J437" r:id="rId436" display="https://www.amazon.in/dp/B0F992RNJF"/>
    <hyperlink ref="J438" r:id="rId437" display="https://www.amazon.in/Fire-Boltt-Bluetooth-Rotating-Waterproof-Smartwatch/dp/B0FP2FXTYC/ref=sr_1_21"/>
    <hyperlink ref="J439" r:id="rId438" display="https://www.amazon.in/dp/B0CG1VX5P4"/>
    <hyperlink ref="J440" r:id="rId439" display="https://www.amazon.in/Fire-Boltt-Transparent-Bluetooth-Assistant-Smartwatch/dp/B0GGHG9CWT/ref=sr_1_24"/>
    <hyperlink ref="J441" r:id="rId440" display="https://www.amazon.in/Fastrack-Display-Silicone-Calling-Smartwatch/dp/B0F5HNW218/ref=sr_1_25"/>
    <hyperlink ref="J442" r:id="rId441" display="https://www.amazon.in/dp/B0BN1X7ZVT"/>
    <hyperlink ref="J443" r:id="rId442" display="https://www.amazon.in/Fastrack-Jupiter-Display-Bluetooth-Functional/dp/B0F5HQX4FC/ref=sr_1_28"/>
    <hyperlink ref="J444" r:id="rId443" display="https://www.amazon.in/Smartwatch-Bluetooth-Calculator-Waterproof-Wallpaper/dp/B0H9NYH8DW/ref=sr_1_29"/>
    <hyperlink ref="J445" r:id="rId444" display="https://www.amazon.in/dp/B0G6K9G3YS"/>
    <hyperlink ref="J446" r:id="rId445" display="https://www.amazon.in/dp/B0DF31RRVB"/>
    <hyperlink ref="J447" r:id="rId446" display="https://www.amazon.in/boAt-Smartwatch-Immersive-Functional-Monitoring/dp/B0GPDRBRBX/ref=sr_1_32"/>
    <hyperlink ref="J448" r:id="rId447" display="https://www.amazon.in/Noise-ColorFit-Pulse-Smartwatch-Mocha/dp/B0D4ZFTLPX/ref=sr_1_33"/>
    <hyperlink ref="J449" r:id="rId448" display="https://www.amazon.in/Fire-Boltt-Bluetooth-Assistant-Monitoring-Millanese/dp/B0DY834T7L/ref=sr_1_34"/>
    <hyperlink ref="J450" r:id="rId449" display="https://www.amazon.in/Fastrack-Resolution-SingleSync-Assistant-Smartwatch/dp/B0DDQCB71F/ref=sr_1_35"/>
    <hyperlink ref="J451" r:id="rId450" display="https://www.amazon.in/Fire-Boltt-Bluetooth-Wireless-Charging-Assistant/dp/B0G61HJYR3/ref=sr_1_36"/>
    <hyperlink ref="J452" r:id="rId451" display="https://www.amazon.in/boAt-Advanced-Bluetooth-Functional-Monitoring/dp/B0CF1NTL6M/ref=sr_1_37"/>
    <hyperlink ref="J453" r:id="rId452" display="https://www.amazon.in/Noise-Launched-Bluetooth-Assistance-Metallic/dp/B0BW4BFBD5/ref=sr_1_38"/>
    <hyperlink ref="J454" r:id="rId453" display="https://www.amazon.in/Noise-Display-Bluetooth-Brightness-Smartwatch/dp/B0GMK64GS1/ref=sr_1_39"/>
    <hyperlink ref="J455" r:id="rId454" display="https://www.amazon.in/Fire-Boltt-Stainless-Bluetooth-Monitoring-Assistant/dp/B0CG1V9H8T/ref=sr_1_40"/>
    <hyperlink ref="J456" r:id="rId455" display="https://www.amazon.in/dp/B0FLYHGXVJ"/>
    <hyperlink ref="J457" r:id="rId456" display="https://www.amazon.in/dp/B0D6N5V9PY"/>
    <hyperlink ref="J458" r:id="rId457" display="https://www.amazon.in/Fastrack-Limitless-Calling-Assistant-Tracking/dp/B0F5HP275V/ref=sr_1_3"/>
    <hyperlink ref="J459" r:id="rId458" display="https://www.amazon.in/Noise-Unlimited-Display-Functional-Metallic/dp/B0D6GJH129/ref=sr_1_4"/>
    <hyperlink ref="J460" r:id="rId459" display="https://www.amazon.in/dp/B0BN1X7ZVT"/>
    <hyperlink ref="J461" r:id="rId460" display="https://www.amazon.in/dp/B0GVYXJHZJ"/>
    <hyperlink ref="J462" r:id="rId461" display="https://www.amazon.in/Redmi-Smartwatch-390%C3%97450-Bluetooth-Calling/dp/B0FSLT35WH/ref=sr_1_7"/>
    <hyperlink ref="J463" r:id="rId462" display="https://www.amazon.in/Redmi-Smartwatch-390%C3%97450-Bluetooth-Calling/dp/B0FSLPCHBX/ref=sr_1_8"/>
    <hyperlink ref="J464" r:id="rId463" display="https://www.amazon.in/dp/B0CP9PLWTF"/>
    <hyperlink ref="J465" r:id="rId464" display="https://www.amazon.in/dp/B0GLPC25J2"/>
    <hyperlink ref="J466" r:id="rId465" display="https://www.amazon.in/Noise-Smartwatch-Calling-Tracking-Monitoring/dp/B0CQ4HSR2D/ref=sr_1_11"/>
    <hyperlink ref="J467" r:id="rId466" display="https://www.amazon.in/boAt-Smartwatch-Display-Brightness-Premium/dp/B0H1J5QHXG/ref=sr_1_12"/>
    <hyperlink ref="J468" r:id="rId467" display="https://www.amazon.in/boAt-Auto-Activity-Detection-Advanced-Bluetooth/dp/B0F491YC5Q/ref=sr_1_13"/>
    <hyperlink ref="J469" r:id="rId468" display="https://www.amazon.in/Fastrack-Optimus-Advanced-Resistant-Smartwatch/dp/B0F43W1KL1/ref=sr_1_14"/>
    <hyperlink ref="J470" r:id="rId469" display="https://www.amazon.in/Fire-Boltt-Bluetooth-Rotating-Waterproof-Smartwatch/dp/B0FP2D6Z16/ref=sr_1_15"/>
    <hyperlink ref="J471" r:id="rId470" display="https://www.amazon.in/Redmi-Display-Bluetooth-Advanced-Cancellation/dp/B0DCZWZ39H/ref=sr_1_16"/>
    <hyperlink ref="J472" r:id="rId471" display="https://www.amazon.in/Noise-Launched-Display-Calling-Battery/dp/B0CG1Y3336/ref=sr_1_17"/>
    <hyperlink ref="J473" r:id="rId472" display="https://www.amazon.in/boAt-Smartwatch-Charging-Functional-Tracking/dp/B0GX9JK9SN/ref=sr_1_18"/>
    <hyperlink ref="J474" r:id="rId473" display="https://www.amazon.in/GOBOULT-Mustang-Muscle-Convertible-Brightness/dp/B0GYYM57FP/ref=sr_1_19"/>
    <hyperlink ref="J475" r:id="rId474" display="https://www.amazon.in/Fire-Boltt-Launched-Display-Bluetooth-Assistance/dp/B0C497MSQN/ref=sr_1_20"/>
    <hyperlink ref="J476" r:id="rId475" display="https://www.amazon.in/Smartwatch-Display-Animated-Functional-Multiple/dp/B0FLF44GTQ/ref=sr_1_21"/>
    <hyperlink ref="J477" r:id="rId476" display="https://www.amazon.in/Fire-Boltt-Bluetooth-Assistant-Monitoring-Burgandy/dp/B0DY7YPBJL/ref=sr_1_22"/>
    <hyperlink ref="J478" r:id="rId477" display="https://www.amazon.in/dp/B0F2Z1Q4W4"/>
    <hyperlink ref="J479" r:id="rId478" display="https://www.amazon.in/dp/B0CG1VX5P4"/>
    <hyperlink ref="J480" r:id="rId479" display="https://www.amazon.in/NoiseFit-Display-Bluetooth-Calling-Metallic/dp/B0BNNC7R2W/ref=sr_1_20"/>
    <hyperlink ref="J481" r:id="rId480" display="https://www.amazon.in/Noise-Smartwatch-Diamond-Metallic-Display/dp/B0C5X2JV72/ref=sr_1_21"/>
    <hyperlink ref="J482" r:id="rId481" display="https://www.amazon.in/dp/B0D6N83X6D"/>
    <hyperlink ref="J483" r:id="rId482" display="https://www.amazon.in/dp/B0BLHGBSG8"/>
    <hyperlink ref="J484" r:id="rId483" display="https://www.amazon.in/Noise-Advanced-Bluetooth-Brightness-Smartwatch/dp/B0B6BLTGTT/ref=sr_1_24"/>
    <hyperlink ref="J485" r:id="rId484" display="https://www.amazon.in/boAt-Smartwatch-Display-Brightness-Premium/dp/B0H1J94XZN/ref=sr_1_25"/>
    <hyperlink ref="J486" r:id="rId485" display="https://www.amazon.in/dp/B0FQ59KS4G"/>
    <hyperlink ref="J487" r:id="rId486" display="https://www.amazon.in/dp/B0G6K9G3YS"/>
    <hyperlink ref="J488" r:id="rId487" display="https://www.amazon.in/Fire-Boltt-Bluetooth-Calling-Smartwatch-Assistance/dp/B0F2Z2TRK9/ref=sr_1_28"/>
    <hyperlink ref="J489" r:id="rId488" display="https://www.amazon.in/Noise-Launched-Bluetooth-Detection-Smartwatch/dp/B0CQRQK8L8/ref=sr_1_29"/>
    <hyperlink ref="J490" r:id="rId489" display="https://www.amazon.in/dp/B0GGHJJXCB"/>
    <hyperlink ref="J491" r:id="rId490" display="https://www.amazon.in/boAt-Smartwatch-Brightness-Personalized-Functional/dp/B0H2H9368L/ref=sr_1_32"/>
    <hyperlink ref="J492" r:id="rId491" display="https://www.amazon.in/Fire-Boltt-Bluetooth-Wireless-Charging-Assistant/dp/B0F993RN8H/ref=sr_1_33"/>
    <hyperlink ref="J493" r:id="rId492" display="https://www.amazon.in/GOBOULT-Smartwatch-Brightness-Watchfaces-Monitoring/dp/B0H333ZQML/ref=sr_1_35"/>
    <hyperlink ref="J494" r:id="rId493" display="https://www.amazon.in/Fastrack-Resolution-SingleSync-Assistant-Smartwatch/dp/B0DDQCB71F/ref=sr_1_36"/>
    <hyperlink ref="J495" r:id="rId494" display="https://www.amazon.in/Smartwatch-Bluetooth-Calculator-Waterproof-Wallpaper/dp/B0H9NYH8DW/ref=sr_1_37"/>
    <hyperlink ref="J496" r:id="rId495" display="https://www.amazon.in/Fire-Boltt-Transparent-Bluetooth-Assistant-Smartwatch/dp/B0GGHG9CWT/ref=sr_1_38"/>
    <hyperlink ref="J497" r:id="rId496" display="https://www.amazon.in/Fire-Boltt-Stainless-Bluetooth-Rotating-Assistant/dp/B0DSDYFT1P/ref=sr_1_39"/>
    <hyperlink ref="J498" r:id="rId497" display="https://www.amazon.in/boAt-Ultima-Ember-Smartwatch-Personalized/dp/B0DSFQ434R/ref=sr_1_40"/>
    <hyperlink ref="J499" r:id="rId498" display="https://www.amazon.in/Fastrack-Display-Silicone-Calling-Smartwatch/dp/B0F5HNW218/ref=sr_1_41"/>
    <hyperlink ref="J500" r:id="rId499" display="https://www.amazon.in/dp/B0FZ9YD8MN"/>
    <hyperlink ref="J501" r:id="rId500" display="https://www.amazon.in/dp/B0CQJZD55X"/>
    <hyperlink ref="J502" r:id="rId501" display="https://www.amazon.in/boAt-Airdopes-Pocketable-Controls-Bluetooth/dp/B0GZNHB218/ref=sr_1_3"/>
    <hyperlink ref="J503" r:id="rId502" display="https://www.amazon.in/boAt-Airdopes-Bluetooth-Wireless-Earphones/dp/B0FC2Y3XGV/ref=sr_1_4"/>
    <hyperlink ref="J504" r:id="rId503" display="https://www.amazon.in/dp/B0D4QNLF6Y"/>
    <hyperlink ref="J505" r:id="rId504" display="https://www.amazon.in/dp/B0GCNML31G"/>
    <hyperlink ref="J506" r:id="rId505" display="https://www.amazon.in/boAt-Airdopes-163-Earbuds-Active/dp/B0CNRFYLV8/ref=sr_1_7"/>
    <hyperlink ref="J507" r:id="rId506" display="https://www.amazon.in/Airdopes-141-Playtime-Resistance-Bluetooth/dp/B09N3ZNHTY/ref=sr_1_8"/>
    <hyperlink ref="J508" r:id="rId507" display="https://www.amazon.in/dp/B0DS2XNXZB"/>
    <hyperlink ref="J509" r:id="rId508" display="https://www.amazon.in/dp/B0FHW7PX1N"/>
    <hyperlink ref="J510" r:id="rId509" display="https://www.amazon.in/boAt-Airdopes-Alpha-Wireless-Earbuds/dp/B0C3ZYFZ77/ref=sr_1_11"/>
    <hyperlink ref="J511" r:id="rId510" display="https://www.amazon.in/boAt-Airdopes-Surround-AI-ENxTM-Bluetooth/dp/B0GZMYZW7R/ref=sr_1_12"/>
    <hyperlink ref="J512" r:id="rId511" display="https://www.amazon.in/boAt-Airdopes-Immersive-Hearables-Assistant/dp/B0GXBG2MNF/ref=sr_1_13"/>
    <hyperlink ref="J513" r:id="rId512" display="https://www.amazon.in/boAt-Airdopes-Bluetooth-Wireless-Earphones/dp/B0DZXTVL6V/ref=sr_1_14"/>
    <hyperlink ref="J514" r:id="rId513" display="https://www.amazon.in/boAt-Nirvana-Playback-Technology-Detection/dp/B0BW8RVQ3V/ref=sr_1_15"/>
    <hyperlink ref="J515" r:id="rId514" display="https://www.amazon.in/Airdopes-Battery-Bluetooth-Wireless-Earphones/dp/B0FL2SJTB2/ref=sr_1_16"/>
    <hyperlink ref="J516" r:id="rId515" display="https://www.amazon.in/boAt-Airdopes-Pocketable-Controls-Bluetooth/dp/B0GZMYP6Y6/ref=sr_1_17"/>
    <hyperlink ref="J517" r:id="rId516" display="https://www.amazon.in/boAt-Airdopes-Powerful-Playback-Bluetooth/dp/B0GXB9M2HW/ref=sr_1_18"/>
    <hyperlink ref="J518" r:id="rId517" display="https://www.amazon.in/boAt-Airdopes-Bluetooth-Wireless-Earphones/dp/B0FHHLMSW6/ref=sr_1_19"/>
    <hyperlink ref="J519" r:id="rId518" display="https://www.amazon.in/boAt-Airdopes-ProClip-Conduction-Feather-Light/dp/B0GZN7C6X8/ref=sr_1_20"/>
    <hyperlink ref="J520" r:id="rId519" display="https://www.amazon.in/boAt-Airdopes-101v2-Pitch-Black/dp/B0DXPNVSSB/ref=sr_1_21"/>
    <hyperlink ref="J521" r:id="rId520" display="https://www.amazon.in/boAt-Airdopes-Immersive-Hearables-Assistant/dp/B0GXBJ3658/ref=sr_1_22"/>
    <hyperlink ref="J522" r:id="rId521" display="https://www.amazon.in/dp/B0CQJWQWD9"/>
    <hyperlink ref="J523" r:id="rId522" display="https://www.amazon.in/Airdopes-Drivers-Bluetooth-Wireless-Earphones/dp/B0FPLP7SMZ/ref=sr_1_20"/>
    <hyperlink ref="J524" r:id="rId523" display="https://www.amazon.in/boAt-Airdopes-300-Experience-Multipoint/dp/B0D3DK779N/ref=sr_1_21"/>
    <hyperlink ref="J525" r:id="rId524" display="https://www.amazon.in/dp/B0GCNNWM13"/>
    <hyperlink ref="J526" r:id="rId525" display="https://www.amazon.in/dp/B0CYPZLV8C"/>
    <hyperlink ref="J527" r:id="rId526" display="https://www.amazon.in/boAt-Nirvana-TWS-Bluetooth-Earphones/dp/B0DQKY3R84/ref=sr_1_24"/>
    <hyperlink ref="J528" r:id="rId527" display="https://www.amazon.in/boAt-Airdopes-311-Pro-Transparent/dp/B0CZ417B2Q/ref=sr_1_25"/>
    <hyperlink ref="J529" r:id="rId528" display="https://www.amazon.in/dp/B0FBR6HGXM"/>
    <hyperlink ref="J530" r:id="rId529" display="https://www.amazon.in/boAt-Airdopes-121-Pro-Plus/dp/B0D49ZS9MT/ref=sr_1_28"/>
    <hyperlink ref="J531" r:id="rId530" display="https://www.amazon.in/Nirvana-Feedback-Bluetooth-Wireless-Earphones/dp/B0G2S1MZRX/ref=sr_1_29"/>
    <hyperlink ref="J532" r:id="rId531" display="https://www.amazon.in/dp/B0GSZV3415"/>
    <hyperlink ref="J533" r:id="rId532" display="https://www.amazon.in/dp/B0GHQD8KP2"/>
    <hyperlink ref="J534" r:id="rId533" display="https://www.amazon.in/Boat-Airdopes-Earbuds-Cosmic-Black/dp/B0GC5STRB9/ref=sr_1_32"/>
    <hyperlink ref="J535" r:id="rId534" display="https://www.amazon.in/boAt-Airdopes-ProClip-Conduction-Feather-Light/dp/B0GZNFM1CT/ref=sr_1_33"/>
    <hyperlink ref="J536" r:id="rId535" display="https://www.amazon.in/boAt-Tracking-Bluetooth-Wireless-Earphones/dp/B0DBHBZZTN/ref=sr_1_34"/>
    <hyperlink ref="J537" r:id="rId536" display="https://www.amazon.in/boAt-Immortal-100-Earbuds-Black/dp/B0CRL6D5PH/ref=sr_1_35"/>
    <hyperlink ref="J538" r:id="rId537" display="https://www.amazon.in/boAt-Airdopes-Ultra-Plus-Technology/dp/B0D31QS9RH/ref=sr_1_36"/>
    <hyperlink ref="J539" r:id="rId538" display="https://www.amazon.in/boAt-Airdopes-Loop-Conduction-Earphones/dp/B0DJ8KY3FT/ref=sr_1_37"/>
    <hyperlink ref="J540" r:id="rId539" display="https://www.amazon.in/Airdopes-Multipoint-Connection-Bluetooth-Earphones/dp/B0FM3N9DXH/ref=sr_1_38"/>
    <hyperlink ref="J541" r:id="rId540" display="https://www.amazon.in/boAt-Nirvana-Zenith-Pro-Bluetooth/dp/B0DXP8JM1M/ref=sr_1_39"/>
    <hyperlink ref="J542" r:id="rId541" display="https://www.amazon.in/OnePlus-Playback-Translation-Dual-Device-Connectivity/dp/B0FMDL81GS/ref=sr_1_40"/>
    <hyperlink ref="J543" r:id="rId542" display="https://www.amazon.in/boAt-Airdopes-Bluetooth-Wireless-Earphones/dp/B0DPWJYQK1/ref=sr_1_41"/>
    <hyperlink ref="J544" r:id="rId543" display="https://www.amazon.in/dp/B0FBMFP94S"/>
    <hyperlink ref="J545" r:id="rId544" display="https://www.amazon.in/dp/B0FBMDRLD2"/>
    <hyperlink ref="J546" r:id="rId545" display="https://www.amazon.in/Smartwatch-Display-Animated-Functional-Multiple/dp/B0FLF44GTQ/ref=sr_1_3"/>
    <hyperlink ref="J547" r:id="rId546" display="https://www.amazon.in/boAt-Smartwatch-Charging-Functional-Tracking/dp/B0GX9JK9SN/ref=sr_1_4"/>
    <hyperlink ref="J548" r:id="rId547" display="https://www.amazon.in/dp/B0C497MSQN"/>
    <hyperlink ref="J549" r:id="rId548" display="https://www.amazon.in/dp/B0DY7YPBJL"/>
    <hyperlink ref="J550" r:id="rId549" display="https://www.amazon.in/Discovery-Metallic-Animated-Watchfaces-Bluetooth/dp/B0G1T2GZP9/ref=sr_1_7"/>
    <hyperlink ref="J551" r:id="rId550" display="https://www.amazon.in/boAt-Lunar-Discovery-Navigation-Bluetooth/dp/B0DFYL4635/ref=sr_1_8"/>
    <hyperlink ref="J552" r:id="rId551" display="https://www.amazon.in/dp/B0CMF25TKG"/>
    <hyperlink ref="J553" r:id="rId552" display="https://www.amazon.in/dp/B0DY7YGY4D"/>
    <hyperlink ref="J554" r:id="rId553" display="https://www.amazon.in/boAt-Navigation-Display-Bluetooth-Emergency/dp/B0CVQG14RR/ref=sr_1_11"/>
    <hyperlink ref="J555" r:id="rId554" display="https://www.amazon.in/boAt-Infinity-Extensive-Battery-Functional/dp/B0DZ2PDXLS/ref=sr_1_12"/>
    <hyperlink ref="J556" r:id="rId555" display="https://www.amazon.in/boAt-Smartwatch-Brightness-Personalized-Functional/dp/B0H2H9368L/ref=sr_1_13"/>
    <hyperlink ref="J557" r:id="rId556" display="https://www.amazon.in/boAt-Smartwatch-Charging-Functional-Tracking/dp/B0GX9HWLBF/ref=sr_1_14"/>
    <hyperlink ref="J558" r:id="rId557" display="https://www.amazon.in/boAt-Advanced-Bluetooth-Functional-Monitoring/dp/B0CF1NTL6M/ref=sr_1_15"/>
    <hyperlink ref="J559" r:id="rId558" display="https://www.amazon.in/boAt-Smartwatch-Immersive-Functional-Monitoring/dp/B0GPDNKWQ3/ref=sr_1_16"/>
    <hyperlink ref="J560" r:id="rId559" display="https://www.amazon.in/boAt-Smartwatch-Immersive-Functional-Monitoring/dp/B0GPDRBMS6/ref=sr_1_17"/>
    <hyperlink ref="J561" r:id="rId560" display="https://www.amazon.in/boAt-smartwatch-Display-Personalized-Functional/dp/B0DSFQ2RLV/ref=sr_1_18"/>
    <hyperlink ref="J562" r:id="rId561" display="https://www.amazon.in/boAt-Ultima-Ember-Smartwatch-Personalized/dp/B0DSFS2LLC/ref=sr_1_19"/>
    <hyperlink ref="J563" r:id="rId562" display="https://www.amazon.in/boAt-Wave-Call-Plus-Bilingual/dp/B0DMF4LP99/ref=sr_1_20"/>
    <hyperlink ref="J564" r:id="rId563" display="https://www.amazon.in/boAt-Display-Advanced-Functional-Multiple/dp/B0F3DKH55N/ref=sr_1_21"/>
    <hyperlink ref="J565" r:id="rId564" display="https://www.amazon.in/boAt-Smartwatch-Display-Brightness-Premium/dp/B0H1J5QHXG/ref=sr_1_22"/>
    <hyperlink ref="J566" r:id="rId565" display="https://www.amazon.in/dp/B0BF57RN3K"/>
    <hyperlink ref="J567" r:id="rId566" display="https://www.amazon.in/boAt-Storm-Call-Navigation-Activity/dp/B0DBLX3R5H/ref=sr_1_20"/>
    <hyperlink ref="J568" r:id="rId567" display="https://www.amazon.in/dp/B0FLY7TMJD"/>
    <hyperlink ref="J569" r:id="rId568" display="https://www.amazon.in/dp/B0GHS5RWPW"/>
    <hyperlink ref="J570" r:id="rId569" display="https://www.amazon.in/boAt-Wanderer-Restrict-Parental-Controls/dp/B0D83BPRYP/ref=sr_1_24"/>
    <hyperlink ref="J571" r:id="rId570" display="https://www.amazon.in/AuraVue-Display-Brightness-Premium-Bluetooth/dp/B0G4MB69F5/ref=sr_1_25"/>
    <hyperlink ref="J572" r:id="rId571" display="https://www.amazon.in/dp/B0F4955HLQ"/>
    <hyperlink ref="J573" r:id="rId572" display="https://www.amazon.in/boAt-Ultima-Regal-Crystal-Clear-Brightness/dp/B0DFLNMPK7/ref=sr_1_28"/>
    <hyperlink ref="J574" r:id="rId573" display="https://www.amazon.in/dp/B0FBMGK45T"/>
    <hyperlink ref="J575" r:id="rId574" display="https://www.amazon.in/boAt-Wave-Fortune-Bluetooth-Assistant/dp/B0D4M3NSV9/ref=sr_1_32"/>
    <hyperlink ref="J576" r:id="rId575" display="https://www.amazon.in/Discovery-Emergency-Functional-Multiple-Tracking/dp/B0FLK54XSP/ref=sr_1_33"/>
    <hyperlink ref="J577" r:id="rId576" display="https://www.amazon.in/boAt-Navigation-Activity-Tracker-Display/dp/B0DBLZLKPG/ref=sr_1_34"/>
    <hyperlink ref="J578" r:id="rId577" display="https://www.amazon.in/boAt-Smartwatch-Monitoring-Geofencing-Compatible/dp/B0GSQVC7BR/ref=sr_1_35"/>
    <hyperlink ref="J579" r:id="rId578" display="https://www.amazon.in/Fire-Boltt-Bluetooth-Calling-Assistance-Resolution/dp/B0BF54LXW6/ref=sr_1_36"/>
    <hyperlink ref="J580" r:id="rId579" display="https://www.amazon.in/boAt-Auto-Activity-Detection-Advanced-Bluetooth/dp/B0F493G266/ref=sr_1_37"/>
    <hyperlink ref="J581" r:id="rId580" display="https://www.amazon.in/boAt-Display-Emergency-Location-Sharing/dp/B0DFYJWSS7/ref=sr_1_38"/>
    <hyperlink ref="J582" r:id="rId581" display="https://www.amazon.in/boAt-Brightness-Monitoring-Tracking-Smartwatch/dp/B0GPDP7WQD/ref=sr_1_39"/>
    <hyperlink ref="J583" r:id="rId582" display="https://www.amazon.in/boAt-co-Designed-Brightness-Metallic-smartwatch/dp/B0GHRVD5LJ/ref=sr_1_40"/>
    <hyperlink ref="J584" r:id="rId583" display="https://www.amazon.in/boAt-Metallic-Tracking-Bluetooth-Emergency/dp/B0H5QGRDX8/ref=sr_1_41"/>
    <hyperlink ref="J585" r:id="rId584" display="https://www.amazon.in/dp/B0CQJZD55X"/>
    <hyperlink ref="J586" r:id="rId585" display="https://www.amazon.in/dp/B0G2CD21GR"/>
    <hyperlink ref="J587" r:id="rId586" display="https://www.amazon.in/Noise-Launched-Wireless-Playtime-Instacharge/dp/B0CQJWMMG7/ref=sr_1_3"/>
    <hyperlink ref="J588" r:id="rId587" display="https://www.amazon.in/Noise-Bluetooth-Wireless-30-Hours-Instacharge/dp/B09Y5MK1KB/ref=sr_1_4"/>
    <hyperlink ref="J589" r:id="rId588" display="https://www.amazon.in/dp/B0DK979YJ7"/>
    <hyperlink ref="J590" r:id="rId589" display="https://www.amazon.in/dp/B0DGV6RP7C"/>
    <hyperlink ref="J591" r:id="rId590" display="https://www.amazon.in/Noise-Wireless-Bluetooth-Playtime-Instacharge/dp/B0DS2XNXZB/ref=sr_1_7"/>
    <hyperlink ref="J592" r:id="rId591" display="https://www.amazon.in/Noise-Wireless-Earbuds-Playtime-Resistant/dp/B0GCNML31G/ref=sr_1_8"/>
    <hyperlink ref="J593" r:id="rId592" display="https://www.amazon.in/dp/B0FHW7PX1N"/>
    <hyperlink ref="J594" r:id="rId593" display="https://www.amazon.in/Noise-Wireless-Earbuds-Playtime-Charcoal/dp/B0FZ9T5JBR/ref=sr_1_11"/>
    <hyperlink ref="J595" r:id="rId594" display="https://www.amazon.in/Noise-Wireless-Earbuds-Playtime-Resistant/dp/B0GCNNWM13/ref=sr_1_12"/>
    <hyperlink ref="J596" r:id="rId595" display="https://www.amazon.in/Noise-Wireless-Metallic-Playtime-Instacharge/dp/B0D4QLT8WG/ref=sr_1_13"/>
    <hyperlink ref="J597" r:id="rId596" display="https://www.amazon.in/Noise-Wireless-Bluetooth-30-Hours-Instacharge/dp/B09Y5LL6P4/ref=sr_1_14"/>
    <hyperlink ref="J598" r:id="rId597" display="https://www.amazon.in/Noise-Wireless-Earbuds-Playtime-Resistant/dp/B0GCNK81FR/ref=sr_1_15"/>
    <hyperlink ref="J599" r:id="rId598" display="https://www.amazon.in/Noise-Launched-Wireless-Playtime-Transparent/dp/B0FHW8KKN9/ref=sr_1_17"/>
    <hyperlink ref="J600" r:id="rId599" display="https://www.amazon.in/Noise-Wireless-Earbuds-Playtime-Latency/dp/B0FZ9Y2RJN/ref=sr_1_18"/>
    <hyperlink ref="J601" r:id="rId600" display="https://www.amazon.in/Noise-Wireless-Earbuds-Playtime-Instacharge/dp/B0DS2WS827/ref=sr_1_19"/>
    <hyperlink ref="J602" r:id="rId601" display="https://www.amazon.in/Noise-Launched-Wireless-Playtime-Instacharge/dp/B0FN7J4997/ref=sr_1_20"/>
    <hyperlink ref="J603" r:id="rId602" display="https://www.amazon.in/Noise-Truly-Wireless-Bluetooth-Earbuds/dp/B0CYPYNNVT/ref=sr_1_21"/>
    <hyperlink ref="J604" r:id="rId603" display="https://www.amazon.in/Noise-Launched-Wireless-Earbuds-Playtime/dp/B0GSZV3415/ref=sr_1_22"/>
    <hyperlink ref="J605" r:id="rId604" display="https://www.amazon.in/dp/B0FTZD16TR"/>
    <hyperlink ref="J606" r:id="rId605" display="https://www.amazon.in/Noise-Launched-Wireless-Instacharge-Composite/dp/B0CFYB2154/ref=sr_1_20"/>
    <hyperlink ref="J607" r:id="rId606" display="https://www.amazon.in/Noise-Truly-Wireless-Bluetooth-Earbuds/dp/B0DNZTC6K7/ref=sr_1_21"/>
    <hyperlink ref="J608" r:id="rId607" display="https://www.amazon.in/dp/B0FHW8RKCN"/>
    <hyperlink ref="J609" r:id="rId608" display="https://www.amazon.in/dp/B0DGV5F9V4"/>
    <hyperlink ref="J610" r:id="rId609" display="https://www.amazon.in/Noise-Wireless-Earbuds-Playtime-Instacharge/dp/B0GWD68R5S/ref=sr_1_24"/>
    <hyperlink ref="J611" r:id="rId610" display="https://www.amazon.in/Noise-Wireless-Award-Winning-AI-Powered-Bluetooth/dp/B0GWDGNJC9/ref=sr_1_25"/>
    <hyperlink ref="J612" r:id="rId611" display="https://www.amazon.in/dp/B0G2CD1LHF"/>
    <hyperlink ref="J613" r:id="rId612" display="https://www.amazon.in/Noise-Bluetooth-Wireless-30-Hours-Instacharge/dp/B09Y5N4M7Z/ref=sr_1_28"/>
    <hyperlink ref="J614" r:id="rId613" display="https://www.amazon.in/Noise-Spatial-Playtime-Instacharge-Metallic/dp/B0GWD513TF/ref=sr_1_29"/>
    <hyperlink ref="J615" r:id="rId614" display="https://www.amazon.in/dp/B0H6B1L8N1"/>
    <hyperlink ref="J616" r:id="rId615" display="https://www.amazon.in/dp/B0G2GGLTMF"/>
    <hyperlink ref="J617" r:id="rId616" display="https://www.amazon.in/Noise-Wireless-Open-Earbuds-AI-Powered-Playtime/dp/B0GWD96NDL/ref=sr_1_32"/>
    <hyperlink ref="J618" r:id="rId617" display="https://www.amazon.in/OnePlus-Playback-Translation-Dual-Device-Connectivity/dp/B0FMDL81GS/ref=sr_1_33"/>
    <hyperlink ref="J619" r:id="rId618" display="https://www.amazon.in/Noise-Wireless-Open-Ear-C-Bridge-AirWaveTM/dp/B0G39WPJMS/ref=sr_1_34"/>
    <hyperlink ref="J620" r:id="rId619" display="https://www.amazon.in/Noise-Launched-Wireless-Playtime-Instacharge/dp/B0CYPZ6RPK/ref=sr_1_35"/>
    <hyperlink ref="J621" r:id="rId620" display="https://www.amazon.in/Noise-Launched-Connect-Wireless-Playtime/dp/B0FZ9YLWP1/ref=sr_1_37"/>
    <hyperlink ref="J622" r:id="rId621" display="https://www.amazon.in/Noise-Wireless-Earbuds-Playtime-Equalizer/dp/B0C23MGYWM/ref=sr_1_38"/>
    <hyperlink ref="J623" r:id="rId622" display="https://www.amazon.in/HAMMER-Playtime-Assistant-Lightweight-Dual-Tone/dp/B0GDTRYXYF/ref=sr_1_39"/>
    <hyperlink ref="J624" r:id="rId623" display="https://www.amazon.in/boAt-Airdopes-Pocketable-Controls-Bluetooth/dp/B0GZNHB218/ref=sr_1_40"/>
    <hyperlink ref="J625" r:id="rId624" display="https://www.amazon.in/realme-Wireless-Earbuds-Dynamic-Playback/dp/B0FBR6HGXM/ref=sr_1_41"/>
    <hyperlink ref="J626" r:id="rId625" display="https://www.amazon.in/dp/B0GMKL443R"/>
    <hyperlink ref="J627" r:id="rId626" display="https://www.amazon.in/dp/B0D7QK57R7"/>
    <hyperlink ref="J628" r:id="rId627" display="https://www.amazon.in/Noise-Launched-Bluetooth-Calling-Tracking/dp/B0BJ72WZQ7/ref=sr_1_3"/>
    <hyperlink ref="J629" r:id="rId628" display="https://www.amazon.in/Noise-Advanced-Bluetooth-Brightness-Smartwatch/dp/B0B6BLTGTT/ref=sr_1_4"/>
    <hyperlink ref="J630" r:id="rId629" display="https://www.amazon.in/dp/B0FNCPKFP6"/>
    <hyperlink ref="J631" r:id="rId630" display="https://www.amazon.in/dp/B0D6N83X6D"/>
    <hyperlink ref="J632" r:id="rId631" display="https://www.amazon.in/Noise-Launched-Bluetooth-Detection-Smartwatch/dp/B0CQRQK8L8/ref=sr_1_7"/>
    <hyperlink ref="J633" r:id="rId632" display="https://www.amazon.in/Noise-Display-Functional-Premium-Metallic/dp/B0D6GK2871/ref=sr_1_8"/>
    <hyperlink ref="J634" r:id="rId633" display="https://www.amazon.in/dp/B0DSF243J4"/>
    <hyperlink ref="J635" r:id="rId634" display="https://www.amazon.in/dp/B0GT5FZQ6Y"/>
    <hyperlink ref="J636" r:id="rId635" display="https://www.amazon.in/Noise-Launched-Bluetooth-Assistance-Metallic/dp/B0BW4BFBD5/ref=sr_1_11"/>
    <hyperlink ref="J637" r:id="rId636" display="https://www.amazon.in/Noise-Launched-Display-Calling-Battery/dp/B0CG1Y3336/ref=sr_1_12"/>
    <hyperlink ref="J638" r:id="rId637" display="https://www.amazon.in/Smartwatch-Display-Animated-Functional-Multiple/dp/B0FLF41YJ4/ref=sr_1_13"/>
    <hyperlink ref="J639" r:id="rId638" display="https://www.amazon.in/Noise-Vibrant-Bluetooth-Metallic-Assistance/dp/B0DNQQ67JY/ref=sr_1_14"/>
    <hyperlink ref="J640" r:id="rId639" display="https://www.amazon.in/Noise-ColorFit-Icon-Smartwatch-Starlight/dp/B0F4RH8CHC/ref=sr_1_15"/>
    <hyperlink ref="J641" r:id="rId640" display="https://www.amazon.in/Noise-Display-TruSync%E1%B5%80%E1%B4%B9-Tracking-Midnight/dp/B0FPCZ6Q8Y/ref=sr_1_16"/>
    <hyperlink ref="J642" r:id="rId641" display="https://www.amazon.in/Noise-Bluetooth-Calling-Display-Tracking/dp/B0GMK9KF8Z/ref=sr_1_17"/>
    <hyperlink ref="J643" r:id="rId642" display="https://www.amazon.in/Noise-Immersive-Smartwatch-Resistant-Functional/dp/B0F4RHPQPN/ref=sr_1_18"/>
    <hyperlink ref="J644" r:id="rId643" display="https://www.amazon.in/Noise-NoiseFit-Halo-Smartwatch-Elite/dp/B0FQV97BWX/ref=sr_1_19"/>
    <hyperlink ref="J645" r:id="rId644" display="https://www.amazon.in/Noise-Bluetooth-Tracking-Detection-Midnight/dp/B0B5LWP12T/ref=sr_1_20"/>
    <hyperlink ref="J646" r:id="rId645" display="https://www.amazon.in/Noise-Compatible-Geofencing-Monitoring-Emergency/dp/B0FC6CGZTP/ref=sr_1_21"/>
    <hyperlink ref="J647" r:id="rId646" display="https://www.amazon.in/NoiseFit-Bluetooth-Functional-Assistance-Tracker/dp/B0BMVRPGH5/ref=sr_1_22"/>
    <hyperlink ref="J648" r:id="rId647" display="https://www.amazon.in/Fire-Boltt-Bluetooth-Calling-Assistance-Resolution/dp/B0BF4YBLPX/ref=sr_1_20"/>
    <hyperlink ref="J649" r:id="rId648" display="https://www.amazon.in/NoiseFit-Display-Bluetooth-Calling-Metallic/dp/B0BNNC7R2W/ref=sr_1_21"/>
    <hyperlink ref="J650" r:id="rId649" display="https://www.amazon.in/dp/B0D6N5V9PY"/>
    <hyperlink ref="J651" r:id="rId650" display="https://www.amazon.in/dp/B0BN1X7ZVT"/>
    <hyperlink ref="J652" r:id="rId651" display="https://www.amazon.in/Noise-Launched-Endeavour-Display-Calling/dp/B0CG1T39PB/ref=sr_1_24"/>
    <hyperlink ref="J653" r:id="rId652" display="https://www.amazon.in/Noise-Display-Bluetooth-Calling-Stainless/dp/B0C4Q5HNMH/ref=sr_1_25"/>
    <hyperlink ref="J654" r:id="rId653" display="https://www.amazon.in/dp/B0D4Q7CH4M"/>
    <hyperlink ref="J655" r:id="rId654" display="https://www.amazon.in/dp/B0GT5BKZB2"/>
    <hyperlink ref="J656" r:id="rId655" display="https://www.amazon.in/Noise-Switchable-Bumpers-Learning-Parental/dp/B0FC69FZ5N/ref=sr_1_29"/>
    <hyperlink ref="J657" r:id="rId656" display="https://www.amazon.in/dp/B0C497MSQN"/>
    <hyperlink ref="J658" r:id="rId657" display="https://www.amazon.in/dp/B0G61HJYR3"/>
    <hyperlink ref="J659" r:id="rId658" display="https://www.amazon.in/Noise-Smartwatch-Diamond-Metallic-Display/dp/B0C5X2JV72/ref=sr_1_32"/>
    <hyperlink ref="J660" r:id="rId659" display="https://www.amazon.in/Noise-Smartwatch-Tracking-Temperature-Location/dp/B0FWCRMYGT/ref=sr_1_34"/>
    <hyperlink ref="J661" r:id="rId660" display="https://www.amazon.in/Fire-Boltt-Stainless-Bluetooth-Assistant-Monitoring/dp/B0DT9ZPRRB/ref=sr_1_35"/>
    <hyperlink ref="J662" r:id="rId661" display="https://www.amazon.in/Noise-Biggest-personalization-Productivity-Rosegold/dp/B0CFYP7XR3/ref=sr_1_36"/>
    <hyperlink ref="J663" r:id="rId662" display="https://www.amazon.in/Bouncefit-D20-Fitness-Band-Smartwatch/dp/B0C6F3Z5Y1/ref=sr_1_37"/>
    <hyperlink ref="J664" r:id="rId663" display="https://www.amazon.in/Noise-Original-Watch-ColorFit-Smartwatches/dp/B0H83PPKPD/ref=sr_1_38"/>
    <hyperlink ref="J665" r:id="rId664" display="https://www.amazon.in/iTronix-Replacement-ColorFit-NoiseFit-Smartwatches/dp/B09HN6QB25/ref=sr_1_39"/>
    <hyperlink ref="J666" r:id="rId665" display="https://www.amazon.in/beautss-Premium-Flexible-Protector-Smartwatch/dp/B0BGRQTVXY/ref=sr_1_40"/>
    <hyperlink ref="J667" r:id="rId666" display="https://www.amazon.in/Strapy-Silicone-Colorfit-Smartwatch-Classic/dp/B0BJC66JCC/ref=sr_1_4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66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24"/>
    <col collapsed="false" customWidth="true" hidden="false" outlineLevel="0" max="4" min="3" style="0" width="16"/>
    <col collapsed="false" customWidth="true" hidden="false" outlineLevel="0" max="5" min="5" style="0" width="55"/>
  </cols>
  <sheetData>
    <row r="1" customFormat="false" ht="19.7" hidden="false" customHeight="false" outlineLevel="0" collapsed="false">
      <c r="A1" s="8" t="s">
        <v>1513</v>
      </c>
    </row>
    <row r="3" customFormat="false" ht="15" hidden="false" customHeight="false" outlineLevel="0" collapsed="false">
      <c r="A3" s="9" t="s">
        <v>1514</v>
      </c>
    </row>
    <row r="4" customFormat="false" ht="15" hidden="false" customHeight="false" outlineLevel="0" collapsed="false">
      <c r="A4" s="10" t="s">
        <v>1515</v>
      </c>
      <c r="B4" s="10" t="s">
        <v>1516</v>
      </c>
    </row>
    <row r="5" customFormat="false" ht="15" hidden="false" customHeight="false" outlineLevel="0" collapsed="false">
      <c r="A5" s="11" t="s">
        <v>1517</v>
      </c>
      <c r="B5" s="11" t="n">
        <f aca="false">COUNTA(Data!A2:A667)</f>
        <v>666</v>
      </c>
    </row>
    <row r="6" customFormat="false" ht="15" hidden="false" customHeight="false" outlineLevel="0" collapsed="false">
      <c r="A6" s="11" t="s">
        <v>1518</v>
      </c>
      <c r="B6" s="11" t="n">
        <f aca="false">COUNTIF(Data!D2:D667,"Yes")</f>
        <v>173</v>
      </c>
    </row>
    <row r="7" customFormat="false" ht="15" hidden="false" customHeight="false" outlineLevel="0" collapsed="false">
      <c r="A7" s="11" t="s">
        <v>1519</v>
      </c>
      <c r="B7" s="11" t="n">
        <f aca="false">COUNTIF(Data!C2:C667,1)</f>
        <v>341</v>
      </c>
    </row>
    <row r="8" customFormat="false" ht="15" hidden="false" customHeight="false" outlineLevel="0" collapsed="false">
      <c r="A8" s="11" t="s">
        <v>1520</v>
      </c>
      <c r="B8" s="11" t="n">
        <f aca="false">COUNTIF(Data!C2:C667,2)</f>
        <v>325</v>
      </c>
    </row>
    <row r="9" customFormat="false" ht="15" hidden="false" customHeight="false" outlineLevel="0" collapsed="false">
      <c r="A9" s="11" t="s">
        <v>1521</v>
      </c>
      <c r="B9" s="11" t="n">
        <f aca="false">ROUND(AVERAGEIFS(Data!B2:B667,Data!D2:D667,"Yes",Data!E2:E667,"boAt"),1)</f>
        <v>7</v>
      </c>
    </row>
    <row r="10" customFormat="false" ht="15" hidden="false" customHeight="false" outlineLevel="0" collapsed="false">
      <c r="A10" s="11" t="s">
        <v>1522</v>
      </c>
      <c r="B10" s="11" t="n">
        <f aca="false">ROUND(AVERAGEIFS(Data!B2:B667,Data!D2:D667,"Yes",Data!E2:E667,"Noise"),1)</f>
        <v>9</v>
      </c>
    </row>
    <row r="12" customFormat="false" ht="15" hidden="false" customHeight="false" outlineLevel="0" collapsed="false">
      <c r="A12" s="9" t="s">
        <v>1523</v>
      </c>
    </row>
    <row r="13" customFormat="false" ht="15" hidden="false" customHeight="false" outlineLevel="0" collapsed="false">
      <c r="A13" s="10" t="s">
        <v>1524</v>
      </c>
      <c r="B13" s="10" t="s">
        <v>1525</v>
      </c>
      <c r="C13" s="10" t="s">
        <v>1526</v>
      </c>
    </row>
    <row r="14" customFormat="false" ht="15" hidden="false" customHeight="false" outlineLevel="0" collapsed="false">
      <c r="A14" s="11" t="s">
        <v>49</v>
      </c>
      <c r="B14" s="11" t="n">
        <f aca="false">COUNTIFS(Data!D2:D667,"Yes",Data!E2:E667,"Noise")</f>
        <v>93</v>
      </c>
      <c r="C14" s="12" t="n">
        <f aca="false">B14/$B$6</f>
        <v>0.53757225433526</v>
      </c>
    </row>
    <row r="15" customFormat="false" ht="15" hidden="false" customHeight="false" outlineLevel="0" collapsed="false">
      <c r="A15" s="11" t="s">
        <v>273</v>
      </c>
      <c r="B15" s="11" t="n">
        <f aca="false">COUNTIFS(Data!D2:D667,"Yes",Data!E2:E667,"Other: Fire")</f>
        <v>28</v>
      </c>
      <c r="C15" s="12" t="n">
        <f aca="false">B15/$B$6</f>
        <v>0.161849710982659</v>
      </c>
    </row>
    <row r="16" customFormat="false" ht="15" hidden="false" customHeight="false" outlineLevel="0" collapsed="false">
      <c r="A16" s="11" t="s">
        <v>305</v>
      </c>
      <c r="B16" s="11" t="n">
        <f aca="false">COUNTIFS(Data!D2:D667,"Yes",Data!E2:E667,"Other: Fastrack")</f>
        <v>15</v>
      </c>
      <c r="C16" s="12" t="n">
        <f aca="false">B16/$B$6</f>
        <v>0.0867052023121387</v>
      </c>
    </row>
    <row r="17" customFormat="false" ht="15" hidden="false" customHeight="false" outlineLevel="0" collapsed="false">
      <c r="A17" s="11" t="s">
        <v>38</v>
      </c>
      <c r="B17" s="11" t="n">
        <f aca="false">COUNTIFS(Data!D2:D667,"Yes",Data!E2:E667,"boAt")</f>
        <v>10</v>
      </c>
      <c r="C17" s="12" t="n">
        <f aca="false">B17/$B$6</f>
        <v>0.0578034682080925</v>
      </c>
    </row>
    <row r="18" customFormat="false" ht="15" hidden="false" customHeight="false" outlineLevel="0" collapsed="false">
      <c r="A18" s="11" t="s">
        <v>218</v>
      </c>
      <c r="B18" s="11" t="n">
        <f aca="false">COUNTIFS(Data!D2:D667,"Yes",Data!E2:E667,"Other: Wireless")</f>
        <v>5</v>
      </c>
      <c r="C18" s="12" t="n">
        <f aca="false">B18/$B$6</f>
        <v>0.0289017341040462</v>
      </c>
    </row>
    <row r="19" customFormat="false" ht="15" hidden="false" customHeight="false" outlineLevel="0" collapsed="false">
      <c r="A19" s="11" t="s">
        <v>33</v>
      </c>
      <c r="B19" s="11" t="n">
        <f aca="false">COUNTIFS(Data!D2:D667,"Yes",Data!E2:E667,"Other: realme")</f>
        <v>3</v>
      </c>
      <c r="C19" s="12" t="n">
        <f aca="false">B19/$B$6</f>
        <v>0.0173410404624277</v>
      </c>
    </row>
    <row r="20" customFormat="false" ht="15" hidden="false" customHeight="false" outlineLevel="0" collapsed="false">
      <c r="A20" s="11" t="s">
        <v>66</v>
      </c>
      <c r="B20" s="11" t="n">
        <f aca="false">COUNTIFS(Data!D2:D667,"Yes",Data!E2:E667,"Other: GOBOULT")</f>
        <v>3</v>
      </c>
      <c r="C20" s="12" t="n">
        <f aca="false">B20/$B$6</f>
        <v>0.0173410404624277</v>
      </c>
    </row>
    <row r="21" customFormat="false" ht="15" hidden="false" customHeight="false" outlineLevel="0" collapsed="false">
      <c r="A21" s="11" t="s">
        <v>966</v>
      </c>
      <c r="B21" s="11" t="n">
        <f aca="false">COUNTIFS(Data!D2:D667,"Yes",Data!E2:E667,"Other: Pebble")</f>
        <v>3</v>
      </c>
      <c r="C21" s="12" t="n">
        <f aca="false">B21/$B$6</f>
        <v>0.0173410404624277</v>
      </c>
    </row>
    <row r="22" customFormat="false" ht="15" hidden="false" customHeight="false" outlineLevel="0" collapsed="false">
      <c r="A22" s="11" t="s">
        <v>175</v>
      </c>
      <c r="B22" s="11" t="n">
        <f aca="false">COUNTIFS(Data!D2:D667,"Yes",Data!E2:E667,"Other: Mivi")</f>
        <v>2</v>
      </c>
      <c r="C22" s="12" t="n">
        <f aca="false">B22/$B$6</f>
        <v>0.0115606936416185</v>
      </c>
    </row>
    <row r="23" customFormat="false" ht="15" hidden="false" customHeight="false" outlineLevel="0" collapsed="false">
      <c r="A23" s="11" t="s">
        <v>623</v>
      </c>
      <c r="B23" s="11" t="n">
        <f aca="false">COUNTIFS(Data!D2:D667,"Yes",Data!E2:E667,"Other: PunnkFunnk")</f>
        <v>2</v>
      </c>
      <c r="C23" s="12" t="n">
        <f aca="false">B23/$B$6</f>
        <v>0.0115606936416185</v>
      </c>
    </row>
    <row r="24" customFormat="false" ht="15" hidden="false" customHeight="false" outlineLevel="0" collapsed="false">
      <c r="A24" s="11" t="s">
        <v>593</v>
      </c>
      <c r="B24" s="11" t="n">
        <f aca="false">COUNTIFS(Data!D2:D667,"Yes",Data!E2:E667,"Other: Titan")</f>
        <v>2</v>
      </c>
      <c r="C24" s="12" t="n">
        <f aca="false">B24/$B$6</f>
        <v>0.0115606936416185</v>
      </c>
    </row>
    <row r="25" customFormat="false" ht="15" hidden="false" customHeight="false" outlineLevel="0" collapsed="false">
      <c r="A25" s="11" t="s">
        <v>113</v>
      </c>
      <c r="B25" s="11" t="n">
        <f aca="false">COUNTIFS(Data!D2:D667,"Yes",Data!E2:E667,"Other: truke")</f>
        <v>1</v>
      </c>
      <c r="C25" s="12" t="n">
        <f aca="false">B25/$B$6</f>
        <v>0.00578034682080925</v>
      </c>
    </row>
    <row r="26" customFormat="false" ht="15" hidden="false" customHeight="false" outlineLevel="0" collapsed="false">
      <c r="A26" s="11" t="s">
        <v>170</v>
      </c>
      <c r="B26" s="11" t="n">
        <f aca="false">COUNTIFS(Data!D2:D667,"Yes",Data!E2:E667,"Other: Apple")</f>
        <v>1</v>
      </c>
      <c r="C26" s="12" t="n">
        <f aca="false">B26/$B$6</f>
        <v>0.00578034682080925</v>
      </c>
    </row>
    <row r="27" customFormat="false" ht="15" hidden="false" customHeight="false" outlineLevel="0" collapsed="false">
      <c r="A27" s="11" t="s">
        <v>226</v>
      </c>
      <c r="B27" s="11" t="n">
        <f aca="false">COUNTIFS(Data!D2:D667,"Yes",Data!E2:E667,"Other: Single")</f>
        <v>1</v>
      </c>
      <c r="C27" s="12" t="n">
        <f aca="false">B27/$B$6</f>
        <v>0.00578034682080925</v>
      </c>
    </row>
    <row r="28" customFormat="false" ht="15" hidden="false" customHeight="false" outlineLevel="0" collapsed="false">
      <c r="A28" s="11" t="s">
        <v>241</v>
      </c>
      <c r="B28" s="11" t="n">
        <f aca="false">COUNTIFS(Data!D2:D667,"Yes",Data!E2:E667,"Other: Ultrapods")</f>
        <v>1</v>
      </c>
      <c r="C28" s="12" t="n">
        <f aca="false">B28/$B$6</f>
        <v>0.00578034682080925</v>
      </c>
    </row>
    <row r="29" customFormat="false" ht="15" hidden="false" customHeight="false" outlineLevel="0" collapsed="false">
      <c r="A29" s="11" t="s">
        <v>422</v>
      </c>
      <c r="B29" s="11" t="n">
        <f aca="false">COUNTIFS(Data!D2:D667,"Yes",Data!E2:E667,"Other: Nervfit")</f>
        <v>1</v>
      </c>
      <c r="C29" s="12" t="n">
        <f aca="false">B29/$B$6</f>
        <v>0.00578034682080925</v>
      </c>
    </row>
    <row r="30" customFormat="false" ht="15" hidden="false" customHeight="false" outlineLevel="0" collapsed="false">
      <c r="A30" s="11" t="s">
        <v>841</v>
      </c>
      <c r="B30" s="11" t="n">
        <f aca="false">COUNTIFS(Data!D2:D667,"Yes",Data!E2:E667,"Other: JLab")</f>
        <v>1</v>
      </c>
      <c r="C30" s="12" t="n">
        <f aca="false">B30/$B$6</f>
        <v>0.00578034682080925</v>
      </c>
    </row>
    <row r="31" customFormat="false" ht="15" hidden="false" customHeight="false" outlineLevel="0" collapsed="false">
      <c r="A31" s="11" t="s">
        <v>1236</v>
      </c>
      <c r="B31" s="11" t="n">
        <f aca="false">COUNTIFS(Data!D2:D667,"Yes",Data!E2:E667,"Other: MONKEYMAN")</f>
        <v>1</v>
      </c>
      <c r="C31" s="12" t="n">
        <f aca="false">B31/$B$6</f>
        <v>0.00578034682080925</v>
      </c>
    </row>
    <row r="33" customFormat="false" ht="15" hidden="false" customHeight="false" outlineLevel="0" collapsed="false">
      <c r="A33" s="9" t="s">
        <v>1527</v>
      </c>
    </row>
    <row r="34" customFormat="false" ht="15" hidden="false" customHeight="false" outlineLevel="0" collapsed="false">
      <c r="A34" s="13" t="s">
        <v>1528</v>
      </c>
    </row>
    <row r="35" customFormat="false" ht="15" hidden="false" customHeight="false" outlineLevel="0" collapsed="false">
      <c r="A35" s="10" t="s">
        <v>1529</v>
      </c>
      <c r="B35" s="10" t="s">
        <v>1530</v>
      </c>
      <c r="C35" s="10" t="s">
        <v>1531</v>
      </c>
    </row>
    <row r="36" customFormat="false" ht="15" hidden="false" customHeight="false" outlineLevel="0" collapsed="false">
      <c r="A36" s="11" t="s">
        <v>31</v>
      </c>
      <c r="B36" s="11" t="s">
        <v>49</v>
      </c>
      <c r="C36" s="11" t="n">
        <f aca="false">COUNTIFS(Data!A2:A667,"boAt Nirvana Ion ANC",Data!D2:D667,"Yes",Data!E2:E667,"Noise")</f>
        <v>5</v>
      </c>
    </row>
    <row r="37" customFormat="false" ht="15" hidden="false" customHeight="false" outlineLevel="0" collapsed="false">
      <c r="A37" s="11" t="s">
        <v>31</v>
      </c>
      <c r="B37" s="11" t="s">
        <v>33</v>
      </c>
      <c r="C37" s="11" t="n">
        <f aca="false">COUNTIFS(Data!A2:A667,"boAt Nirvana Ion ANC",Data!D2:D667,"Yes",Data!E2:E667,"Other: realme")</f>
        <v>1</v>
      </c>
    </row>
    <row r="38" customFormat="false" ht="15" hidden="false" customHeight="false" outlineLevel="0" collapsed="false">
      <c r="A38" s="11" t="s">
        <v>31</v>
      </c>
      <c r="B38" s="11" t="s">
        <v>66</v>
      </c>
      <c r="C38" s="11" t="n">
        <f aca="false">COUNTIFS(Data!A2:A667,"boAt Nirvana Ion ANC",Data!D2:D667,"Yes",Data!E2:E667,"Other: GOBOULT")</f>
        <v>1</v>
      </c>
    </row>
    <row r="39" customFormat="false" ht="15" hidden="false" customHeight="false" outlineLevel="0" collapsed="false">
      <c r="A39" s="11" t="s">
        <v>31</v>
      </c>
      <c r="B39" s="11" t="s">
        <v>113</v>
      </c>
      <c r="C39" s="11" t="n">
        <f aca="false">COUNTIFS(Data!A2:A667,"boAt Nirvana Ion ANC",Data!D2:D667,"Yes",Data!E2:E667,"Other: truke")</f>
        <v>1</v>
      </c>
    </row>
    <row r="40" customFormat="false" ht="15" hidden="false" customHeight="false" outlineLevel="0" collapsed="false">
      <c r="A40" s="11" t="s">
        <v>155</v>
      </c>
      <c r="B40" s="11" t="s">
        <v>218</v>
      </c>
      <c r="C40" s="11" t="n">
        <f aca="false">COUNTIFS(Data!A2:A667,"Noise Buds N2 Pro",Data!D2:D667,"Yes",Data!E2:E667,"Other: Wireless")</f>
        <v>3</v>
      </c>
    </row>
    <row r="41" customFormat="false" ht="15" hidden="false" customHeight="false" outlineLevel="0" collapsed="false">
      <c r="A41" s="11" t="s">
        <v>155</v>
      </c>
      <c r="B41" s="11" t="s">
        <v>170</v>
      </c>
      <c r="C41" s="11" t="n">
        <f aca="false">COUNTIFS(Data!A2:A667,"Noise Buds N2 Pro",Data!D2:D667,"Yes",Data!E2:E667,"Other: Apple")</f>
        <v>1</v>
      </c>
    </row>
    <row r="42" customFormat="false" ht="15" hidden="false" customHeight="false" outlineLevel="0" collapsed="false">
      <c r="A42" s="11" t="s">
        <v>155</v>
      </c>
      <c r="B42" s="11" t="s">
        <v>175</v>
      </c>
      <c r="C42" s="11" t="n">
        <f aca="false">COUNTIFS(Data!A2:A667,"Noise Buds N2 Pro",Data!D2:D667,"Yes",Data!E2:E667,"Other: Mivi")</f>
        <v>1</v>
      </c>
    </row>
    <row r="43" customFormat="false" ht="15" hidden="false" customHeight="false" outlineLevel="0" collapsed="false">
      <c r="A43" s="11" t="s">
        <v>155</v>
      </c>
      <c r="B43" s="11" t="s">
        <v>226</v>
      </c>
      <c r="C43" s="11" t="n">
        <f aca="false">COUNTIFS(Data!A2:A667,"Noise Buds N2 Pro",Data!D2:D667,"Yes",Data!E2:E667,"Other: Single")</f>
        <v>1</v>
      </c>
    </row>
    <row r="44" customFormat="false" ht="15" hidden="false" customHeight="false" outlineLevel="0" collapsed="false">
      <c r="A44" s="11" t="s">
        <v>155</v>
      </c>
      <c r="B44" s="11" t="s">
        <v>241</v>
      </c>
      <c r="C44" s="11" t="n">
        <f aca="false">COUNTIFS(Data!A2:A667,"Noise Buds N2 Pro",Data!D2:D667,"Yes",Data!E2:E667,"Other: Ultrapods")</f>
        <v>1</v>
      </c>
    </row>
    <row r="45" customFormat="false" ht="15" hidden="false" customHeight="false" outlineLevel="0" collapsed="false">
      <c r="A45" s="11" t="s">
        <v>269</v>
      </c>
      <c r="B45" s="11" t="s">
        <v>49</v>
      </c>
      <c r="C45" s="11" t="n">
        <f aca="false">COUNTIFS(Data!A2:A667,"boAt Chrome Horizon",Data!D2:D667,"Yes",Data!E2:E667,"Noise")</f>
        <v>5</v>
      </c>
    </row>
    <row r="46" customFormat="false" ht="15" hidden="false" customHeight="false" outlineLevel="0" collapsed="false">
      <c r="A46" s="11" t="s">
        <v>269</v>
      </c>
      <c r="B46" s="11" t="s">
        <v>273</v>
      </c>
      <c r="C46" s="11" t="n">
        <f aca="false">COUNTIFS(Data!A2:A667,"boAt Chrome Horizon",Data!D2:D667,"Yes",Data!E2:E667,"Other: Fire")</f>
        <v>1</v>
      </c>
    </row>
    <row r="47" customFormat="false" ht="15" hidden="false" customHeight="false" outlineLevel="0" collapsed="false">
      <c r="A47" s="11" t="s">
        <v>375</v>
      </c>
      <c r="B47" s="11" t="s">
        <v>273</v>
      </c>
      <c r="C47" s="11" t="n">
        <f aca="false">COUNTIFS(Data!A2:A667,"boAt Lunar Vista",Data!D2:D667,"Yes",Data!E2:E667,"Other: Fire")</f>
        <v>6</v>
      </c>
    </row>
    <row r="48" customFormat="false" ht="15" hidden="false" customHeight="false" outlineLevel="0" collapsed="false">
      <c r="A48" s="11" t="s">
        <v>375</v>
      </c>
      <c r="B48" s="11" t="s">
        <v>422</v>
      </c>
      <c r="C48" s="11" t="n">
        <f aca="false">COUNTIFS(Data!A2:A667,"boAt Lunar Vista",Data!D2:D667,"Yes",Data!E2:E667,"Other: Nervfit")</f>
        <v>1</v>
      </c>
    </row>
    <row r="49" customFormat="false" ht="15" hidden="false" customHeight="false" outlineLevel="0" collapsed="false">
      <c r="A49" s="11" t="s">
        <v>568</v>
      </c>
      <c r="B49" s="11" t="s">
        <v>273</v>
      </c>
      <c r="C49" s="11" t="n">
        <f aca="false">COUNTIFS(Data!A2:A667,"Noise Alt Watch 1",Data!D2:D667,"Yes",Data!E2:E667,"Other: Fire")</f>
        <v>3</v>
      </c>
    </row>
    <row r="50" customFormat="false" ht="15" hidden="false" customHeight="false" outlineLevel="0" collapsed="false">
      <c r="A50" s="11" t="s">
        <v>568</v>
      </c>
      <c r="B50" s="11" t="s">
        <v>305</v>
      </c>
      <c r="C50" s="11" t="n">
        <f aca="false">COUNTIFS(Data!A2:A667,"Noise Alt Watch 1",Data!D2:D667,"Yes",Data!E2:E667,"Other: Fastrack")</f>
        <v>2</v>
      </c>
    </row>
    <row r="51" customFormat="false" ht="15" hidden="false" customHeight="false" outlineLevel="0" collapsed="false">
      <c r="A51" s="11" t="s">
        <v>568</v>
      </c>
      <c r="B51" s="11" t="s">
        <v>623</v>
      </c>
      <c r="C51" s="11" t="n">
        <f aca="false">COUNTIFS(Data!A2:A667,"Noise Alt Watch 1",Data!D2:D667,"Yes",Data!E2:E667,"Other: PunnkFunnk")</f>
        <v>1</v>
      </c>
    </row>
    <row r="52" customFormat="false" ht="15" hidden="false" customHeight="false" outlineLevel="0" collapsed="false">
      <c r="A52" s="11" t="s">
        <v>459</v>
      </c>
      <c r="B52" s="11" t="s">
        <v>1532</v>
      </c>
      <c r="C52" s="11" t="n">
        <f aca="false">COUNTIFS(Data!A2:A667,"Noise ColorFit Ultra 3",Data!D2:D667,"Yes")-COUNTIFS(Data!A2:A667,"Noise ColorFit Ultra 3",Data!D2:D667,"Yes",Data!E2:E667,"Noise")</f>
        <v>0</v>
      </c>
    </row>
    <row r="54" customFormat="false" ht="15" hidden="false" customHeight="false" outlineLevel="0" collapsed="false">
      <c r="A54" s="9" t="s">
        <v>1533</v>
      </c>
    </row>
    <row r="55" customFormat="false" ht="15" hidden="false" customHeight="false" outlineLevel="0" collapsed="false">
      <c r="A55" s="10" t="s">
        <v>1534</v>
      </c>
      <c r="B55" s="10" t="s">
        <v>1530</v>
      </c>
      <c r="C55" s="10" t="s">
        <v>1531</v>
      </c>
    </row>
    <row r="56" customFormat="false" ht="15" hidden="false" customHeight="false" outlineLevel="0" collapsed="false">
      <c r="A56" s="11" t="s">
        <v>1261</v>
      </c>
      <c r="B56" s="11" t="s">
        <v>49</v>
      </c>
      <c r="C56" s="11" t="n">
        <f aca="false">COUNTIFS(Data!A2:A667,"boat earbuds",Data!D2:D667,"Yes",Data!E2:E667,"Noise")</f>
        <v>10</v>
      </c>
    </row>
    <row r="57" customFormat="false" ht="15" hidden="false" customHeight="false" outlineLevel="0" collapsed="false">
      <c r="A57" s="11" t="s">
        <v>1313</v>
      </c>
      <c r="B57" s="11" t="s">
        <v>49</v>
      </c>
      <c r="C57" s="11" t="n">
        <f aca="false">COUNTIFS(Data!A2:A667,"boat smartwatch",Data!D2:D667,"Yes",Data!E2:E667,"Noise")</f>
        <v>0</v>
      </c>
    </row>
    <row r="58" customFormat="false" ht="15" hidden="false" customHeight="false" outlineLevel="0" collapsed="false">
      <c r="A58" s="11" t="s">
        <v>1380</v>
      </c>
      <c r="B58" s="11" t="s">
        <v>38</v>
      </c>
      <c r="C58" s="11" t="n">
        <f aca="false">COUNTIFS(Data!A2:A667,"noise earbuds",Data!D2:D667,"Yes",Data!E2:E667,"boAt")</f>
        <v>0</v>
      </c>
    </row>
    <row r="59" customFormat="false" ht="15" hidden="false" customHeight="false" outlineLevel="0" collapsed="false">
      <c r="A59" s="11" t="s">
        <v>1453</v>
      </c>
      <c r="B59" s="11" t="s">
        <v>38</v>
      </c>
      <c r="C59" s="11" t="n">
        <f aca="false">COUNTIFS(Data!A2:A667,"noise smartwatch",Data!D2:D667,"Yes",Data!E2:E667,"boAt")</f>
        <v>0</v>
      </c>
    </row>
    <row r="61" customFormat="false" ht="15" hidden="false" customHeight="false" outlineLevel="0" collapsed="false">
      <c r="A61" s="13" t="s">
        <v>1535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2026-09-01T02:35:15Z</dcterms:created>
  <dc:creator>openpyxl</dc:creator>
  <dc:description/>
  <dc:language>en-US</dc:language>
  <cp:lastModifiedBy/>
  <dcterms:modified xsi:type="dcterms:W3CDTF">2026-09-01T02:35:15Z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